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iv19980/Documents/PhD_Research/github/TomHigginson.github.io/PubLeaderboard/"/>
    </mc:Choice>
  </mc:AlternateContent>
  <xr:revisionPtr revIDLastSave="0" documentId="13_ncr:9_{8B992AFD-27F3-244F-A9B6-AE45A666E6D2}" xr6:coauthVersionLast="47" xr6:coauthVersionMax="47" xr10:uidLastSave="{00000000-0000-0000-0000-000000000000}"/>
  <bookViews>
    <workbookView xWindow="0" yWindow="500" windowWidth="33500" windowHeight="21100" xr2:uid="{43728327-717B-C749-B6BB-4B80C2D3AE1B}"/>
  </bookViews>
  <sheets>
    <sheet name="BristolPubs_subtotals_SeperateF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20" i="1" l="1"/>
  <c r="AN20" i="1"/>
  <c r="AM64" i="1"/>
  <c r="AN64" i="1"/>
  <c r="AM59" i="1"/>
  <c r="AM67" i="1"/>
  <c r="AN67" i="1"/>
  <c r="AF67" i="1"/>
  <c r="AI67" i="1"/>
  <c r="AH67" i="1"/>
  <c r="AG67" i="1"/>
  <c r="Z67" i="1"/>
  <c r="AB67" i="1"/>
  <c r="AC67" i="1"/>
  <c r="AA67" i="1"/>
  <c r="W67" i="1"/>
  <c r="T67" i="1"/>
  <c r="Q67" i="1"/>
  <c r="N67" i="1"/>
  <c r="K67" i="1"/>
  <c r="H67" i="1"/>
  <c r="E67" i="1"/>
  <c r="AM36" i="1"/>
  <c r="AF36" i="1"/>
  <c r="Z36" i="1"/>
  <c r="AB36" i="1"/>
  <c r="AH36" i="1" s="1"/>
  <c r="AA36" i="1"/>
  <c r="AC36" i="1" s="1"/>
  <c r="AI36" i="1" s="1"/>
  <c r="AN36" i="1" s="1"/>
  <c r="W36" i="1"/>
  <c r="T36" i="1"/>
  <c r="Q36" i="1"/>
  <c r="N36" i="1"/>
  <c r="K36" i="1"/>
  <c r="H36" i="1"/>
  <c r="E36" i="1"/>
  <c r="AF64" i="1"/>
  <c r="Z64" i="1"/>
  <c r="AB64" i="1"/>
  <c r="AA64" i="1"/>
  <c r="AG64" i="1" s="1"/>
  <c r="W64" i="1"/>
  <c r="T64" i="1"/>
  <c r="Q64" i="1"/>
  <c r="N64" i="1"/>
  <c r="K64" i="1"/>
  <c r="H64" i="1"/>
  <c r="E64" i="1"/>
  <c r="AM16" i="1"/>
  <c r="AF16" i="1"/>
  <c r="Z16" i="1"/>
  <c r="AB16" i="1"/>
  <c r="AH16" i="1" s="1"/>
  <c r="AA16" i="1"/>
  <c r="AG16" i="1" s="1"/>
  <c r="W16" i="1"/>
  <c r="T16" i="1"/>
  <c r="Q16" i="1"/>
  <c r="N16" i="1"/>
  <c r="K16" i="1"/>
  <c r="H16" i="1"/>
  <c r="E16" i="1"/>
  <c r="AF59" i="1"/>
  <c r="Z59" i="1"/>
  <c r="AB59" i="1"/>
  <c r="AH59" i="1" s="1"/>
  <c r="AA59" i="1"/>
  <c r="AG59" i="1" s="1"/>
  <c r="W59" i="1"/>
  <c r="T59" i="1"/>
  <c r="Q59" i="1"/>
  <c r="N59" i="1"/>
  <c r="K59" i="1"/>
  <c r="H59" i="1"/>
  <c r="E59" i="1"/>
  <c r="AM31" i="1"/>
  <c r="AF31" i="1"/>
  <c r="Z31" i="1"/>
  <c r="AB31" i="1"/>
  <c r="AH31" i="1" s="1"/>
  <c r="AA31" i="1"/>
  <c r="AG31" i="1" s="1"/>
  <c r="W31" i="1"/>
  <c r="T31" i="1"/>
  <c r="Q31" i="1"/>
  <c r="N31" i="1"/>
  <c r="K31" i="1"/>
  <c r="H31" i="1"/>
  <c r="E31" i="1"/>
  <c r="AM27" i="1"/>
  <c r="AF27" i="1"/>
  <c r="Z27" i="1"/>
  <c r="AB27" i="1"/>
  <c r="AH27" i="1" s="1"/>
  <c r="AA27" i="1"/>
  <c r="W27" i="1"/>
  <c r="T27" i="1"/>
  <c r="Q27" i="1"/>
  <c r="N27" i="1"/>
  <c r="K27" i="1"/>
  <c r="H27" i="1"/>
  <c r="E27" i="1"/>
  <c r="AM65" i="1"/>
  <c r="AF65" i="1"/>
  <c r="Z65" i="1"/>
  <c r="AB65" i="1"/>
  <c r="AH65" i="1" s="1"/>
  <c r="AA65" i="1"/>
  <c r="AG65" i="1" s="1"/>
  <c r="W65" i="1"/>
  <c r="T65" i="1"/>
  <c r="Q65" i="1"/>
  <c r="N65" i="1"/>
  <c r="K65" i="1"/>
  <c r="H65" i="1"/>
  <c r="E65" i="1"/>
  <c r="AF20" i="1"/>
  <c r="Z20" i="1"/>
  <c r="AB20" i="1"/>
  <c r="AH20" i="1" s="1"/>
  <c r="AA20" i="1"/>
  <c r="AG20" i="1" s="1"/>
  <c r="W20" i="1"/>
  <c r="T20" i="1"/>
  <c r="Q20" i="1"/>
  <c r="N20" i="1"/>
  <c r="K20" i="1"/>
  <c r="H20" i="1"/>
  <c r="E20" i="1"/>
  <c r="AM44" i="1"/>
  <c r="AF44" i="1"/>
  <c r="Z44" i="1"/>
  <c r="AB44" i="1"/>
  <c r="AA44" i="1"/>
  <c r="AG44" i="1" s="1"/>
  <c r="W44" i="1"/>
  <c r="T44" i="1"/>
  <c r="Q44" i="1"/>
  <c r="N44" i="1"/>
  <c r="K44" i="1"/>
  <c r="H44" i="1"/>
  <c r="E44" i="1"/>
  <c r="AM77" i="1"/>
  <c r="AF77" i="1"/>
  <c r="Z77" i="1"/>
  <c r="AB77" i="1"/>
  <c r="AH77" i="1" s="1"/>
  <c r="AA77" i="1"/>
  <c r="AG77" i="1" s="1"/>
  <c r="W77" i="1"/>
  <c r="T77" i="1"/>
  <c r="Q77" i="1"/>
  <c r="N77" i="1"/>
  <c r="K77" i="1"/>
  <c r="H77" i="1"/>
  <c r="E77" i="1"/>
  <c r="AM8" i="1"/>
  <c r="AF8" i="1"/>
  <c r="Z8" i="1"/>
  <c r="AB8" i="1"/>
  <c r="AH8" i="1" s="1"/>
  <c r="AA8" i="1"/>
  <c r="W8" i="1"/>
  <c r="T8" i="1"/>
  <c r="Q8" i="1"/>
  <c r="N8" i="1"/>
  <c r="K8" i="1"/>
  <c r="H8" i="1"/>
  <c r="E8" i="1"/>
  <c r="AM38" i="1"/>
  <c r="AF38" i="1"/>
  <c r="Z38" i="1"/>
  <c r="AB38" i="1"/>
  <c r="AH38" i="1" s="1"/>
  <c r="AA38" i="1"/>
  <c r="W38" i="1"/>
  <c r="T38" i="1"/>
  <c r="Q38" i="1"/>
  <c r="N38" i="1"/>
  <c r="K38" i="1"/>
  <c r="H38" i="1"/>
  <c r="E38" i="1"/>
  <c r="AM48" i="1"/>
  <c r="AF48" i="1"/>
  <c r="Z48" i="1"/>
  <c r="AB48" i="1"/>
  <c r="AH48" i="1" s="1"/>
  <c r="AA48" i="1"/>
  <c r="AG48" i="1" s="1"/>
  <c r="W48" i="1"/>
  <c r="T48" i="1"/>
  <c r="Q48" i="1"/>
  <c r="N48" i="1"/>
  <c r="K48" i="1"/>
  <c r="H48" i="1"/>
  <c r="E48" i="1"/>
  <c r="AM54" i="1"/>
  <c r="AF54" i="1"/>
  <c r="Z54" i="1"/>
  <c r="AB54" i="1"/>
  <c r="AH54" i="1" s="1"/>
  <c r="AA54" i="1"/>
  <c r="W54" i="1"/>
  <c r="T54" i="1"/>
  <c r="Q54" i="1"/>
  <c r="N54" i="1"/>
  <c r="K54" i="1"/>
  <c r="H54" i="1"/>
  <c r="E54" i="1"/>
  <c r="AM15" i="1"/>
  <c r="AF15" i="1"/>
  <c r="Z15" i="1"/>
  <c r="AB15" i="1"/>
  <c r="AH15" i="1" s="1"/>
  <c r="AA15" i="1"/>
  <c r="AG15" i="1" s="1"/>
  <c r="W15" i="1"/>
  <c r="T15" i="1"/>
  <c r="Q15" i="1"/>
  <c r="N15" i="1"/>
  <c r="K15" i="1"/>
  <c r="H15" i="1"/>
  <c r="E15" i="1"/>
  <c r="AM26" i="1"/>
  <c r="AF26" i="1"/>
  <c r="Z26" i="1"/>
  <c r="AB26" i="1"/>
  <c r="AH26" i="1" s="1"/>
  <c r="AA26" i="1"/>
  <c r="AG26" i="1" s="1"/>
  <c r="W26" i="1"/>
  <c r="T26" i="1"/>
  <c r="Q26" i="1"/>
  <c r="N26" i="1"/>
  <c r="K26" i="1"/>
  <c r="H26" i="1"/>
  <c r="E26" i="1"/>
  <c r="AM23" i="1"/>
  <c r="AF23" i="1"/>
  <c r="Z23" i="1"/>
  <c r="AB23" i="1"/>
  <c r="AH23" i="1" s="1"/>
  <c r="AA23" i="1"/>
  <c r="AG23" i="1" s="1"/>
  <c r="W23" i="1"/>
  <c r="T23" i="1"/>
  <c r="Q23" i="1"/>
  <c r="N23" i="1"/>
  <c r="K23" i="1"/>
  <c r="H23" i="1"/>
  <c r="E23" i="1"/>
  <c r="AM73" i="1"/>
  <c r="AM60" i="1"/>
  <c r="AM72" i="1"/>
  <c r="AM12" i="1"/>
  <c r="AM18" i="1"/>
  <c r="AM21" i="1"/>
  <c r="AM49" i="1"/>
  <c r="AM62" i="1"/>
  <c r="AM6" i="1"/>
  <c r="AM10" i="1"/>
  <c r="AM66" i="1"/>
  <c r="AM30" i="1"/>
  <c r="AM22" i="1"/>
  <c r="AM25" i="1"/>
  <c r="AM50" i="1"/>
  <c r="AM51" i="1"/>
  <c r="AM46" i="1"/>
  <c r="AM24" i="1"/>
  <c r="AM37" i="1"/>
  <c r="AM11" i="1"/>
  <c r="AM19" i="1"/>
  <c r="AM56" i="1"/>
  <c r="AM5" i="1"/>
  <c r="AM4" i="1"/>
  <c r="AM76" i="1"/>
  <c r="AM58" i="1"/>
  <c r="AM71" i="1"/>
  <c r="AM57" i="1"/>
  <c r="AM17" i="1"/>
  <c r="AM52" i="1"/>
  <c r="AM7" i="1"/>
  <c r="AM75" i="1"/>
  <c r="AM35" i="1"/>
  <c r="AM53" i="1"/>
  <c r="AM74" i="1"/>
  <c r="AM2" i="1"/>
  <c r="AM13" i="1"/>
  <c r="AM43" i="1"/>
  <c r="AM45" i="1"/>
  <c r="AM42" i="1"/>
  <c r="AM61" i="1"/>
  <c r="AM70" i="1"/>
  <c r="AM47" i="1"/>
  <c r="AM63" i="1"/>
  <c r="AM33" i="1"/>
  <c r="AM32" i="1"/>
  <c r="AM41" i="1"/>
  <c r="AM9" i="1"/>
  <c r="AM28" i="1"/>
  <c r="AM40" i="1"/>
  <c r="AM39" i="1"/>
  <c r="AM55" i="1"/>
  <c r="AM29" i="1"/>
  <c r="AM3" i="1"/>
  <c r="AM68" i="1"/>
  <c r="AM34" i="1"/>
  <c r="AM69" i="1"/>
  <c r="AM14" i="1"/>
  <c r="AF73" i="1"/>
  <c r="AF60" i="1"/>
  <c r="AF72" i="1"/>
  <c r="AF12" i="1"/>
  <c r="AF18" i="1"/>
  <c r="AF21" i="1"/>
  <c r="AF49" i="1"/>
  <c r="AF62" i="1"/>
  <c r="AF6" i="1"/>
  <c r="AF10" i="1"/>
  <c r="AF66" i="1"/>
  <c r="AF30" i="1"/>
  <c r="AF22" i="1"/>
  <c r="AF25" i="1"/>
  <c r="AF50" i="1"/>
  <c r="AF51" i="1"/>
  <c r="AF46" i="1"/>
  <c r="AF24" i="1"/>
  <c r="AF37" i="1"/>
  <c r="AF11" i="1"/>
  <c r="AF19" i="1"/>
  <c r="AF56" i="1"/>
  <c r="AF5" i="1"/>
  <c r="AF4" i="1"/>
  <c r="AF76" i="1"/>
  <c r="AF58" i="1"/>
  <c r="AF71" i="1"/>
  <c r="AF57" i="1"/>
  <c r="AF17" i="1"/>
  <c r="AF52" i="1"/>
  <c r="AF7" i="1"/>
  <c r="AF75" i="1"/>
  <c r="AF35" i="1"/>
  <c r="AF53" i="1"/>
  <c r="AF74" i="1"/>
  <c r="AF2" i="1"/>
  <c r="AF13" i="1"/>
  <c r="AF43" i="1"/>
  <c r="AF45" i="1"/>
  <c r="AF42" i="1"/>
  <c r="AF61" i="1"/>
  <c r="AF70" i="1"/>
  <c r="AF47" i="1"/>
  <c r="AF63" i="1"/>
  <c r="AF33" i="1"/>
  <c r="AF32" i="1"/>
  <c r="AF41" i="1"/>
  <c r="AF9" i="1"/>
  <c r="AF28" i="1"/>
  <c r="AF40" i="1"/>
  <c r="AF39" i="1"/>
  <c r="AF55" i="1"/>
  <c r="AF29" i="1"/>
  <c r="AF3" i="1"/>
  <c r="AF68" i="1"/>
  <c r="AF34" i="1"/>
  <c r="AF69" i="1"/>
  <c r="AF14" i="1"/>
  <c r="AB73" i="1"/>
  <c r="AH73" i="1" s="1"/>
  <c r="AB60" i="1"/>
  <c r="AH60" i="1" s="1"/>
  <c r="AB72" i="1"/>
  <c r="AH72" i="1" s="1"/>
  <c r="AB12" i="1"/>
  <c r="AH12" i="1" s="1"/>
  <c r="AB18" i="1"/>
  <c r="AH18" i="1" s="1"/>
  <c r="AB21" i="1"/>
  <c r="AH21" i="1" s="1"/>
  <c r="AB49" i="1"/>
  <c r="AH49" i="1" s="1"/>
  <c r="AB62" i="1"/>
  <c r="AH62" i="1" s="1"/>
  <c r="AB6" i="1"/>
  <c r="AH6" i="1" s="1"/>
  <c r="AB10" i="1"/>
  <c r="AH10" i="1" s="1"/>
  <c r="AB66" i="1"/>
  <c r="AH66" i="1" s="1"/>
  <c r="AB30" i="1"/>
  <c r="AH30" i="1" s="1"/>
  <c r="AB22" i="1"/>
  <c r="AH22" i="1" s="1"/>
  <c r="AB25" i="1"/>
  <c r="AH25" i="1" s="1"/>
  <c r="AB50" i="1"/>
  <c r="AH50" i="1" s="1"/>
  <c r="AB51" i="1"/>
  <c r="AH51" i="1" s="1"/>
  <c r="AB46" i="1"/>
  <c r="AH46" i="1" s="1"/>
  <c r="AB24" i="1"/>
  <c r="AH24" i="1" s="1"/>
  <c r="AB37" i="1"/>
  <c r="AH37" i="1" s="1"/>
  <c r="AB11" i="1"/>
  <c r="AH11" i="1" s="1"/>
  <c r="AB19" i="1"/>
  <c r="AH19" i="1" s="1"/>
  <c r="AB56" i="1"/>
  <c r="AH56" i="1" s="1"/>
  <c r="AB5" i="1"/>
  <c r="AH5" i="1" s="1"/>
  <c r="AB4" i="1"/>
  <c r="AH4" i="1" s="1"/>
  <c r="AB76" i="1"/>
  <c r="AH76" i="1" s="1"/>
  <c r="AB58" i="1"/>
  <c r="AH58" i="1" s="1"/>
  <c r="AB71" i="1"/>
  <c r="AH71" i="1" s="1"/>
  <c r="AB57" i="1"/>
  <c r="AH57" i="1" s="1"/>
  <c r="AB17" i="1"/>
  <c r="AH17" i="1" s="1"/>
  <c r="AB52" i="1"/>
  <c r="AH52" i="1" s="1"/>
  <c r="AB7" i="1"/>
  <c r="AH7" i="1" s="1"/>
  <c r="AB75" i="1"/>
  <c r="AH75" i="1" s="1"/>
  <c r="AB35" i="1"/>
  <c r="AH35" i="1" s="1"/>
  <c r="AB53" i="1"/>
  <c r="AH53" i="1" s="1"/>
  <c r="AB74" i="1"/>
  <c r="AH74" i="1" s="1"/>
  <c r="AB2" i="1"/>
  <c r="AH2" i="1" s="1"/>
  <c r="AB13" i="1"/>
  <c r="AH13" i="1" s="1"/>
  <c r="AB43" i="1"/>
  <c r="AH43" i="1" s="1"/>
  <c r="AB45" i="1"/>
  <c r="AH45" i="1" s="1"/>
  <c r="AB42" i="1"/>
  <c r="AH42" i="1" s="1"/>
  <c r="AB61" i="1"/>
  <c r="AH61" i="1" s="1"/>
  <c r="AB70" i="1"/>
  <c r="AH70" i="1" s="1"/>
  <c r="AB47" i="1"/>
  <c r="AH47" i="1" s="1"/>
  <c r="AB63" i="1"/>
  <c r="AH63" i="1" s="1"/>
  <c r="AB33" i="1"/>
  <c r="AH33" i="1" s="1"/>
  <c r="AB32" i="1"/>
  <c r="AH32" i="1" s="1"/>
  <c r="AB41" i="1"/>
  <c r="AH41" i="1" s="1"/>
  <c r="AB9" i="1"/>
  <c r="AH9" i="1" s="1"/>
  <c r="AB28" i="1"/>
  <c r="AH28" i="1" s="1"/>
  <c r="AB40" i="1"/>
  <c r="AH40" i="1" s="1"/>
  <c r="AB39" i="1"/>
  <c r="AH39" i="1" s="1"/>
  <c r="AB55" i="1"/>
  <c r="AH55" i="1" s="1"/>
  <c r="AB29" i="1"/>
  <c r="AH29" i="1" s="1"/>
  <c r="AB3" i="1"/>
  <c r="AH3" i="1" s="1"/>
  <c r="AB68" i="1"/>
  <c r="AH68" i="1" s="1"/>
  <c r="AB34" i="1"/>
  <c r="AH34" i="1" s="1"/>
  <c r="AB69" i="1"/>
  <c r="AH69" i="1" s="1"/>
  <c r="AB14" i="1"/>
  <c r="AH14" i="1" s="1"/>
  <c r="AA73" i="1"/>
  <c r="AG73" i="1" s="1"/>
  <c r="AA60" i="1"/>
  <c r="AG60" i="1" s="1"/>
  <c r="AA72" i="1"/>
  <c r="AG72" i="1" s="1"/>
  <c r="AA12" i="1"/>
  <c r="AG12" i="1" s="1"/>
  <c r="AA18" i="1"/>
  <c r="AG18" i="1" s="1"/>
  <c r="AA21" i="1"/>
  <c r="AG21" i="1" s="1"/>
  <c r="AA49" i="1"/>
  <c r="AG49" i="1" s="1"/>
  <c r="AA62" i="1"/>
  <c r="AG62" i="1" s="1"/>
  <c r="AA6" i="1"/>
  <c r="AG6" i="1" s="1"/>
  <c r="AA10" i="1"/>
  <c r="AG10" i="1" s="1"/>
  <c r="AA66" i="1"/>
  <c r="AG66" i="1" s="1"/>
  <c r="AA30" i="1"/>
  <c r="AG30" i="1" s="1"/>
  <c r="AA22" i="1"/>
  <c r="AG22" i="1" s="1"/>
  <c r="AA25" i="1"/>
  <c r="AG25" i="1" s="1"/>
  <c r="AA50" i="1"/>
  <c r="AG50" i="1" s="1"/>
  <c r="AA51" i="1"/>
  <c r="AG51" i="1" s="1"/>
  <c r="AA46" i="1"/>
  <c r="AG46" i="1" s="1"/>
  <c r="AA24" i="1"/>
  <c r="AG24" i="1" s="1"/>
  <c r="AA37" i="1"/>
  <c r="AG37" i="1" s="1"/>
  <c r="AA11" i="1"/>
  <c r="AG11" i="1" s="1"/>
  <c r="AA19" i="1"/>
  <c r="AG19" i="1" s="1"/>
  <c r="AA56" i="1"/>
  <c r="AG56" i="1" s="1"/>
  <c r="AA5" i="1"/>
  <c r="AG5" i="1" s="1"/>
  <c r="AA4" i="1"/>
  <c r="AG4" i="1" s="1"/>
  <c r="AA76" i="1"/>
  <c r="AG76" i="1" s="1"/>
  <c r="AA58" i="1"/>
  <c r="AG58" i="1" s="1"/>
  <c r="AA71" i="1"/>
  <c r="AG71" i="1" s="1"/>
  <c r="AA57" i="1"/>
  <c r="AG57" i="1" s="1"/>
  <c r="AA17" i="1"/>
  <c r="AG17" i="1" s="1"/>
  <c r="AA52" i="1"/>
  <c r="AG52" i="1" s="1"/>
  <c r="AA7" i="1"/>
  <c r="AA75" i="1"/>
  <c r="AA35" i="1"/>
  <c r="AG35" i="1" s="1"/>
  <c r="AA53" i="1"/>
  <c r="AG53" i="1" s="1"/>
  <c r="AA74" i="1"/>
  <c r="AG74" i="1" s="1"/>
  <c r="AA2" i="1"/>
  <c r="AG2" i="1" s="1"/>
  <c r="AA13" i="1"/>
  <c r="AG13" i="1" s="1"/>
  <c r="AA43" i="1"/>
  <c r="AG43" i="1" s="1"/>
  <c r="AA45" i="1"/>
  <c r="AG45" i="1" s="1"/>
  <c r="AA42" i="1"/>
  <c r="AG42" i="1" s="1"/>
  <c r="AA61" i="1"/>
  <c r="AG61" i="1" s="1"/>
  <c r="AA70" i="1"/>
  <c r="AA47" i="1"/>
  <c r="AG47" i="1" s="1"/>
  <c r="AA63" i="1"/>
  <c r="AG63" i="1" s="1"/>
  <c r="AA33" i="1"/>
  <c r="AG33" i="1" s="1"/>
  <c r="AA32" i="1"/>
  <c r="AG32" i="1" s="1"/>
  <c r="AA41" i="1"/>
  <c r="AG41" i="1" s="1"/>
  <c r="AA9" i="1"/>
  <c r="AG9" i="1" s="1"/>
  <c r="AA28" i="1"/>
  <c r="AG28" i="1" s="1"/>
  <c r="AA40" i="1"/>
  <c r="AG40" i="1" s="1"/>
  <c r="AA39" i="1"/>
  <c r="AG39" i="1" s="1"/>
  <c r="AA55" i="1"/>
  <c r="AG55" i="1" s="1"/>
  <c r="AA29" i="1"/>
  <c r="AG29" i="1" s="1"/>
  <c r="AA3" i="1"/>
  <c r="AG3" i="1" s="1"/>
  <c r="AA68" i="1"/>
  <c r="AG68" i="1" s="1"/>
  <c r="AA34" i="1"/>
  <c r="AG34" i="1" s="1"/>
  <c r="AA69" i="1"/>
  <c r="AG69" i="1" s="1"/>
  <c r="AA14" i="1"/>
  <c r="Z73" i="1"/>
  <c r="Z60" i="1"/>
  <c r="Z72" i="1"/>
  <c r="Z12" i="1"/>
  <c r="Z18" i="1"/>
  <c r="Z21" i="1"/>
  <c r="Z49" i="1"/>
  <c r="Z62" i="1"/>
  <c r="Z6" i="1"/>
  <c r="Z10" i="1"/>
  <c r="Z66" i="1"/>
  <c r="Z30" i="1"/>
  <c r="Z22" i="1"/>
  <c r="Z25" i="1"/>
  <c r="Z50" i="1"/>
  <c r="Z51" i="1"/>
  <c r="Z46" i="1"/>
  <c r="Z24" i="1"/>
  <c r="Z37" i="1"/>
  <c r="Z11" i="1"/>
  <c r="Z19" i="1"/>
  <c r="Z56" i="1"/>
  <c r="Z5" i="1"/>
  <c r="Z4" i="1"/>
  <c r="Z76" i="1"/>
  <c r="Z58" i="1"/>
  <c r="Z71" i="1"/>
  <c r="Z57" i="1"/>
  <c r="Z17" i="1"/>
  <c r="Z52" i="1"/>
  <c r="Z7" i="1"/>
  <c r="Z75" i="1"/>
  <c r="Z35" i="1"/>
  <c r="Z53" i="1"/>
  <c r="Z74" i="1"/>
  <c r="Z2" i="1"/>
  <c r="Z13" i="1"/>
  <c r="Z43" i="1"/>
  <c r="Z45" i="1"/>
  <c r="Z42" i="1"/>
  <c r="Z61" i="1"/>
  <c r="Z70" i="1"/>
  <c r="Z47" i="1"/>
  <c r="Z63" i="1"/>
  <c r="Z33" i="1"/>
  <c r="Z32" i="1"/>
  <c r="Z41" i="1"/>
  <c r="Z9" i="1"/>
  <c r="Z28" i="1"/>
  <c r="Z40" i="1"/>
  <c r="Z39" i="1"/>
  <c r="Z55" i="1"/>
  <c r="Z29" i="1"/>
  <c r="Z3" i="1"/>
  <c r="Z68" i="1"/>
  <c r="Z34" i="1"/>
  <c r="Z69" i="1"/>
  <c r="Z14" i="1"/>
  <c r="W73" i="1"/>
  <c r="W60" i="1"/>
  <c r="W72" i="1"/>
  <c r="W12" i="1"/>
  <c r="W18" i="1"/>
  <c r="W21" i="1"/>
  <c r="W49" i="1"/>
  <c r="W62" i="1"/>
  <c r="W6" i="1"/>
  <c r="W10" i="1"/>
  <c r="W66" i="1"/>
  <c r="W30" i="1"/>
  <c r="W22" i="1"/>
  <c r="W25" i="1"/>
  <c r="W50" i="1"/>
  <c r="W51" i="1"/>
  <c r="W46" i="1"/>
  <c r="W24" i="1"/>
  <c r="W37" i="1"/>
  <c r="W11" i="1"/>
  <c r="W19" i="1"/>
  <c r="W56" i="1"/>
  <c r="W5" i="1"/>
  <c r="W4" i="1"/>
  <c r="W76" i="1"/>
  <c r="W58" i="1"/>
  <c r="W71" i="1"/>
  <c r="W57" i="1"/>
  <c r="W17" i="1"/>
  <c r="W52" i="1"/>
  <c r="W7" i="1"/>
  <c r="W75" i="1"/>
  <c r="W35" i="1"/>
  <c r="W53" i="1"/>
  <c r="W74" i="1"/>
  <c r="W2" i="1"/>
  <c r="W13" i="1"/>
  <c r="W43" i="1"/>
  <c r="W45" i="1"/>
  <c r="W42" i="1"/>
  <c r="W61" i="1"/>
  <c r="W70" i="1"/>
  <c r="W47" i="1"/>
  <c r="W63" i="1"/>
  <c r="W33" i="1"/>
  <c r="W32" i="1"/>
  <c r="W41" i="1"/>
  <c r="W9" i="1"/>
  <c r="W28" i="1"/>
  <c r="W40" i="1"/>
  <c r="W39" i="1"/>
  <c r="W55" i="1"/>
  <c r="W29" i="1"/>
  <c r="W3" i="1"/>
  <c r="W68" i="1"/>
  <c r="W34" i="1"/>
  <c r="W69" i="1"/>
  <c r="W14" i="1"/>
  <c r="T73" i="1"/>
  <c r="T60" i="1"/>
  <c r="T72" i="1"/>
  <c r="T12" i="1"/>
  <c r="T18" i="1"/>
  <c r="T21" i="1"/>
  <c r="T49" i="1"/>
  <c r="T62" i="1"/>
  <c r="T6" i="1"/>
  <c r="T10" i="1"/>
  <c r="T66" i="1"/>
  <c r="T30" i="1"/>
  <c r="T22" i="1"/>
  <c r="T25" i="1"/>
  <c r="T50" i="1"/>
  <c r="T51" i="1"/>
  <c r="T46" i="1"/>
  <c r="T24" i="1"/>
  <c r="T37" i="1"/>
  <c r="T11" i="1"/>
  <c r="T19" i="1"/>
  <c r="T56" i="1"/>
  <c r="T5" i="1"/>
  <c r="T4" i="1"/>
  <c r="T76" i="1"/>
  <c r="T58" i="1"/>
  <c r="T71" i="1"/>
  <c r="T57" i="1"/>
  <c r="T17" i="1"/>
  <c r="T52" i="1"/>
  <c r="T7" i="1"/>
  <c r="T75" i="1"/>
  <c r="T35" i="1"/>
  <c r="T53" i="1"/>
  <c r="T74" i="1"/>
  <c r="T2" i="1"/>
  <c r="T13" i="1"/>
  <c r="T43" i="1"/>
  <c r="T45" i="1"/>
  <c r="T42" i="1"/>
  <c r="T61" i="1"/>
  <c r="T70" i="1"/>
  <c r="T47" i="1"/>
  <c r="T63" i="1"/>
  <c r="T33" i="1"/>
  <c r="T32" i="1"/>
  <c r="T41" i="1"/>
  <c r="T9" i="1"/>
  <c r="T28" i="1"/>
  <c r="T40" i="1"/>
  <c r="T39" i="1"/>
  <c r="T55" i="1"/>
  <c r="T29" i="1"/>
  <c r="T3" i="1"/>
  <c r="T68" i="1"/>
  <c r="T34" i="1"/>
  <c r="T69" i="1"/>
  <c r="T14" i="1"/>
  <c r="Q73" i="1"/>
  <c r="Q60" i="1"/>
  <c r="Q72" i="1"/>
  <c r="Q12" i="1"/>
  <c r="Q18" i="1"/>
  <c r="Q21" i="1"/>
  <c r="Q49" i="1"/>
  <c r="Q62" i="1"/>
  <c r="Q6" i="1"/>
  <c r="Q10" i="1"/>
  <c r="Q66" i="1"/>
  <c r="Q30" i="1"/>
  <c r="Q22" i="1"/>
  <c r="Q25" i="1"/>
  <c r="Q50" i="1"/>
  <c r="Q51" i="1"/>
  <c r="Q46" i="1"/>
  <c r="Q24" i="1"/>
  <c r="Q37" i="1"/>
  <c r="Q11" i="1"/>
  <c r="Q19" i="1"/>
  <c r="Q56" i="1"/>
  <c r="Q5" i="1"/>
  <c r="Q4" i="1"/>
  <c r="Q76" i="1"/>
  <c r="Q58" i="1"/>
  <c r="Q71" i="1"/>
  <c r="Q57" i="1"/>
  <c r="Q17" i="1"/>
  <c r="Q52" i="1"/>
  <c r="Q7" i="1"/>
  <c r="Q75" i="1"/>
  <c r="Q35" i="1"/>
  <c r="Q53" i="1"/>
  <c r="Q74" i="1"/>
  <c r="Q2" i="1"/>
  <c r="Q13" i="1"/>
  <c r="Q43" i="1"/>
  <c r="Q45" i="1"/>
  <c r="Q42" i="1"/>
  <c r="Q61" i="1"/>
  <c r="Q70" i="1"/>
  <c r="Q47" i="1"/>
  <c r="Q63" i="1"/>
  <c r="Q33" i="1"/>
  <c r="Q32" i="1"/>
  <c r="Q41" i="1"/>
  <c r="Q9" i="1"/>
  <c r="Q28" i="1"/>
  <c r="Q40" i="1"/>
  <c r="Q39" i="1"/>
  <c r="Q55" i="1"/>
  <c r="Q29" i="1"/>
  <c r="Q3" i="1"/>
  <c r="Q68" i="1"/>
  <c r="Q34" i="1"/>
  <c r="Q69" i="1"/>
  <c r="Q14" i="1"/>
  <c r="N73" i="1"/>
  <c r="N60" i="1"/>
  <c r="N72" i="1"/>
  <c r="N12" i="1"/>
  <c r="N18" i="1"/>
  <c r="N21" i="1"/>
  <c r="N49" i="1"/>
  <c r="N62" i="1"/>
  <c r="N6" i="1"/>
  <c r="N10" i="1"/>
  <c r="N66" i="1"/>
  <c r="N30" i="1"/>
  <c r="N22" i="1"/>
  <c r="N25" i="1"/>
  <c r="N50" i="1"/>
  <c r="N51" i="1"/>
  <c r="N46" i="1"/>
  <c r="N24" i="1"/>
  <c r="N37" i="1"/>
  <c r="N11" i="1"/>
  <c r="N19" i="1"/>
  <c r="N56" i="1"/>
  <c r="N5" i="1"/>
  <c r="N4" i="1"/>
  <c r="N76" i="1"/>
  <c r="N58" i="1"/>
  <c r="N71" i="1"/>
  <c r="N57" i="1"/>
  <c r="N17" i="1"/>
  <c r="N52" i="1"/>
  <c r="N7" i="1"/>
  <c r="N75" i="1"/>
  <c r="N35" i="1"/>
  <c r="N53" i="1"/>
  <c r="N74" i="1"/>
  <c r="N2" i="1"/>
  <c r="N13" i="1"/>
  <c r="N43" i="1"/>
  <c r="N45" i="1"/>
  <c r="N42" i="1"/>
  <c r="N61" i="1"/>
  <c r="N70" i="1"/>
  <c r="N47" i="1"/>
  <c r="N63" i="1"/>
  <c r="N33" i="1"/>
  <c r="N32" i="1"/>
  <c r="N41" i="1"/>
  <c r="N9" i="1"/>
  <c r="N28" i="1"/>
  <c r="N40" i="1"/>
  <c r="N39" i="1"/>
  <c r="N55" i="1"/>
  <c r="N29" i="1"/>
  <c r="N3" i="1"/>
  <c r="N68" i="1"/>
  <c r="N34" i="1"/>
  <c r="N69" i="1"/>
  <c r="N14" i="1"/>
  <c r="K73" i="1"/>
  <c r="K60" i="1"/>
  <c r="K72" i="1"/>
  <c r="K12" i="1"/>
  <c r="K18" i="1"/>
  <c r="K21" i="1"/>
  <c r="K49" i="1"/>
  <c r="K62" i="1"/>
  <c r="K6" i="1"/>
  <c r="K10" i="1"/>
  <c r="K66" i="1"/>
  <c r="K30" i="1"/>
  <c r="K22" i="1"/>
  <c r="K25" i="1"/>
  <c r="K50" i="1"/>
  <c r="K51" i="1"/>
  <c r="K46" i="1"/>
  <c r="K24" i="1"/>
  <c r="K37" i="1"/>
  <c r="K11" i="1"/>
  <c r="K19" i="1"/>
  <c r="K56" i="1"/>
  <c r="K5" i="1"/>
  <c r="K4" i="1"/>
  <c r="K76" i="1"/>
  <c r="K58" i="1"/>
  <c r="K71" i="1"/>
  <c r="K57" i="1"/>
  <c r="K17" i="1"/>
  <c r="K52" i="1"/>
  <c r="K7" i="1"/>
  <c r="K75" i="1"/>
  <c r="K35" i="1"/>
  <c r="K53" i="1"/>
  <c r="K74" i="1"/>
  <c r="K2" i="1"/>
  <c r="K13" i="1"/>
  <c r="K43" i="1"/>
  <c r="K45" i="1"/>
  <c r="K42" i="1"/>
  <c r="K61" i="1"/>
  <c r="K70" i="1"/>
  <c r="K47" i="1"/>
  <c r="K63" i="1"/>
  <c r="K33" i="1"/>
  <c r="K32" i="1"/>
  <c r="K41" i="1"/>
  <c r="K9" i="1"/>
  <c r="K28" i="1"/>
  <c r="K40" i="1"/>
  <c r="K39" i="1"/>
  <c r="K55" i="1"/>
  <c r="K29" i="1"/>
  <c r="K3" i="1"/>
  <c r="K68" i="1"/>
  <c r="K34" i="1"/>
  <c r="K69" i="1"/>
  <c r="K14" i="1"/>
  <c r="H73" i="1"/>
  <c r="H60" i="1"/>
  <c r="H72" i="1"/>
  <c r="H12" i="1"/>
  <c r="H18" i="1"/>
  <c r="H21" i="1"/>
  <c r="H49" i="1"/>
  <c r="H62" i="1"/>
  <c r="H6" i="1"/>
  <c r="H10" i="1"/>
  <c r="H66" i="1"/>
  <c r="H30" i="1"/>
  <c r="H22" i="1"/>
  <c r="H25" i="1"/>
  <c r="H50" i="1"/>
  <c r="H51" i="1"/>
  <c r="H46" i="1"/>
  <c r="H24" i="1"/>
  <c r="H37" i="1"/>
  <c r="H11" i="1"/>
  <c r="H19" i="1"/>
  <c r="H56" i="1"/>
  <c r="H5" i="1"/>
  <c r="H4" i="1"/>
  <c r="H76" i="1"/>
  <c r="H58" i="1"/>
  <c r="H71" i="1"/>
  <c r="H57" i="1"/>
  <c r="H17" i="1"/>
  <c r="H52" i="1"/>
  <c r="H7" i="1"/>
  <c r="H75" i="1"/>
  <c r="H35" i="1"/>
  <c r="H53" i="1"/>
  <c r="H74" i="1"/>
  <c r="H2" i="1"/>
  <c r="H13" i="1"/>
  <c r="H43" i="1"/>
  <c r="H45" i="1"/>
  <c r="H42" i="1"/>
  <c r="H61" i="1"/>
  <c r="H70" i="1"/>
  <c r="H47" i="1"/>
  <c r="H63" i="1"/>
  <c r="H33" i="1"/>
  <c r="H32" i="1"/>
  <c r="H41" i="1"/>
  <c r="H9" i="1"/>
  <c r="H28" i="1"/>
  <c r="H40" i="1"/>
  <c r="H39" i="1"/>
  <c r="H55" i="1"/>
  <c r="H29" i="1"/>
  <c r="H3" i="1"/>
  <c r="H68" i="1"/>
  <c r="H34" i="1"/>
  <c r="H69" i="1"/>
  <c r="H14" i="1"/>
  <c r="E73" i="1"/>
  <c r="E60" i="1"/>
  <c r="E72" i="1"/>
  <c r="E12" i="1"/>
  <c r="E18" i="1"/>
  <c r="E21" i="1"/>
  <c r="E49" i="1"/>
  <c r="E62" i="1"/>
  <c r="E6" i="1"/>
  <c r="E10" i="1"/>
  <c r="E66" i="1"/>
  <c r="E30" i="1"/>
  <c r="E22" i="1"/>
  <c r="E25" i="1"/>
  <c r="E50" i="1"/>
  <c r="E51" i="1"/>
  <c r="E46" i="1"/>
  <c r="E24" i="1"/>
  <c r="E37" i="1"/>
  <c r="E11" i="1"/>
  <c r="E19" i="1"/>
  <c r="E56" i="1"/>
  <c r="E5" i="1"/>
  <c r="E4" i="1"/>
  <c r="E76" i="1"/>
  <c r="E58" i="1"/>
  <c r="E71" i="1"/>
  <c r="E57" i="1"/>
  <c r="E17" i="1"/>
  <c r="E52" i="1"/>
  <c r="E7" i="1"/>
  <c r="E75" i="1"/>
  <c r="E35" i="1"/>
  <c r="E53" i="1"/>
  <c r="E74" i="1"/>
  <c r="E2" i="1"/>
  <c r="E13" i="1"/>
  <c r="E43" i="1"/>
  <c r="E45" i="1"/>
  <c r="E42" i="1"/>
  <c r="E61" i="1"/>
  <c r="E70" i="1"/>
  <c r="E47" i="1"/>
  <c r="E63" i="1"/>
  <c r="E33" i="1"/>
  <c r="E32" i="1"/>
  <c r="E41" i="1"/>
  <c r="E9" i="1"/>
  <c r="E28" i="1"/>
  <c r="E40" i="1"/>
  <c r="E39" i="1"/>
  <c r="E55" i="1"/>
  <c r="E29" i="1"/>
  <c r="E3" i="1"/>
  <c r="E68" i="1"/>
  <c r="E34" i="1"/>
  <c r="E69" i="1"/>
  <c r="E14" i="1"/>
  <c r="AG36" i="1" l="1"/>
  <c r="AC64" i="1"/>
  <c r="AI64" i="1" s="1"/>
  <c r="AH64" i="1"/>
  <c r="AC16" i="1"/>
  <c r="AI16" i="1" s="1"/>
  <c r="AN16" i="1" s="1"/>
  <c r="AC59" i="1"/>
  <c r="AC27" i="1"/>
  <c r="AI59" i="1"/>
  <c r="AN59" i="1" s="1"/>
  <c r="AC31" i="1"/>
  <c r="AI31" i="1" s="1"/>
  <c r="AN31" i="1" s="1"/>
  <c r="AI27" i="1"/>
  <c r="AN27" i="1" s="1"/>
  <c r="AC8" i="1"/>
  <c r="AI8" i="1" s="1"/>
  <c r="AN8" i="1" s="1"/>
  <c r="AG27" i="1"/>
  <c r="AC65" i="1"/>
  <c r="AI65" i="1" s="1"/>
  <c r="AN65" i="1" s="1"/>
  <c r="AC20" i="1"/>
  <c r="AI20" i="1" s="1"/>
  <c r="AC54" i="1"/>
  <c r="AI54" i="1" s="1"/>
  <c r="AN54" i="1" s="1"/>
  <c r="AC44" i="1"/>
  <c r="AI44" i="1" s="1"/>
  <c r="AN44" i="1" s="1"/>
  <c r="AH44" i="1"/>
  <c r="AC77" i="1"/>
  <c r="AI77" i="1" s="1"/>
  <c r="AN77" i="1" s="1"/>
  <c r="AG8" i="1"/>
  <c r="AG54" i="1"/>
  <c r="AC48" i="1"/>
  <c r="AI48" i="1" s="1"/>
  <c r="AN48" i="1" s="1"/>
  <c r="AC26" i="1"/>
  <c r="AI26" i="1" s="1"/>
  <c r="AN26" i="1" s="1"/>
  <c r="AC38" i="1"/>
  <c r="AI38" i="1" s="1"/>
  <c r="AN38" i="1" s="1"/>
  <c r="AC23" i="1"/>
  <c r="AI23" i="1" s="1"/>
  <c r="AN23" i="1" s="1"/>
  <c r="AG38" i="1"/>
  <c r="AC14" i="1"/>
  <c r="AI14" i="1" s="1"/>
  <c r="AN14" i="1" s="1"/>
  <c r="AC15" i="1"/>
  <c r="AI15" i="1" s="1"/>
  <c r="AN15" i="1" s="1"/>
  <c r="AG14" i="1"/>
  <c r="AC75" i="1"/>
  <c r="AI75" i="1" s="1"/>
  <c r="AN75" i="1" s="1"/>
  <c r="AC70" i="1"/>
  <c r="AI70" i="1" s="1"/>
  <c r="AN70" i="1" s="1"/>
  <c r="AC7" i="1"/>
  <c r="AI7" i="1" s="1"/>
  <c r="AN7" i="1" s="1"/>
  <c r="AC56" i="1"/>
  <c r="AI56" i="1" s="1"/>
  <c r="AN56" i="1" s="1"/>
  <c r="AC19" i="1"/>
  <c r="AI19" i="1" s="1"/>
  <c r="AN19" i="1" s="1"/>
  <c r="AC30" i="1"/>
  <c r="AI30" i="1" s="1"/>
  <c r="AN30" i="1" s="1"/>
  <c r="AC66" i="1"/>
  <c r="AI66" i="1" s="1"/>
  <c r="AN66" i="1" s="1"/>
  <c r="AC55" i="1"/>
  <c r="AI55" i="1" s="1"/>
  <c r="AN55" i="1" s="1"/>
  <c r="AC60" i="1"/>
  <c r="AI60" i="1" s="1"/>
  <c r="AN60" i="1" s="1"/>
  <c r="AC39" i="1"/>
  <c r="AI39" i="1" s="1"/>
  <c r="AN39" i="1" s="1"/>
  <c r="AC73" i="1"/>
  <c r="AI73" i="1" s="1"/>
  <c r="AN73" i="1" s="1"/>
  <c r="AG70" i="1"/>
  <c r="AG75" i="1"/>
  <c r="AC61" i="1"/>
  <c r="AI61" i="1" s="1"/>
  <c r="AN61" i="1" s="1"/>
  <c r="AG7" i="1"/>
  <c r="AC42" i="1"/>
  <c r="AI42" i="1" s="1"/>
  <c r="AN42" i="1" s="1"/>
  <c r="AC6" i="1"/>
  <c r="AI6" i="1" s="1"/>
  <c r="AN6" i="1" s="1"/>
  <c r="AC9" i="1"/>
  <c r="AI9" i="1" s="1"/>
  <c r="AN9" i="1" s="1"/>
  <c r="AC62" i="1"/>
  <c r="AI62" i="1" s="1"/>
  <c r="AN62" i="1" s="1"/>
  <c r="AC69" i="1"/>
  <c r="AI69" i="1" s="1"/>
  <c r="AN69" i="1" s="1"/>
  <c r="AC46" i="1"/>
  <c r="AI46" i="1" s="1"/>
  <c r="AN46" i="1" s="1"/>
  <c r="AC76" i="1"/>
  <c r="AI76" i="1" s="1"/>
  <c r="AN76" i="1" s="1"/>
  <c r="AC52" i="1"/>
  <c r="AI52" i="1" s="1"/>
  <c r="AN52" i="1" s="1"/>
  <c r="AC28" i="1"/>
  <c r="AI28" i="1" s="1"/>
  <c r="AN28" i="1" s="1"/>
  <c r="AC17" i="1"/>
  <c r="AI17" i="1" s="1"/>
  <c r="AN17" i="1" s="1"/>
  <c r="AC37" i="1"/>
  <c r="AI37" i="1" s="1"/>
  <c r="AN37" i="1" s="1"/>
  <c r="AC43" i="1"/>
  <c r="AI43" i="1" s="1"/>
  <c r="AN43" i="1" s="1"/>
  <c r="AC24" i="1"/>
  <c r="AI24" i="1" s="1"/>
  <c r="AN24" i="1" s="1"/>
  <c r="AC41" i="1"/>
  <c r="AI41" i="1" s="1"/>
  <c r="AN41" i="1" s="1"/>
  <c r="AC71" i="1"/>
  <c r="AI71" i="1" s="1"/>
  <c r="AN71" i="1" s="1"/>
  <c r="AC34" i="1"/>
  <c r="AI34" i="1" s="1"/>
  <c r="AN34" i="1" s="1"/>
  <c r="AC2" i="1"/>
  <c r="AI2" i="1" s="1"/>
  <c r="AN2" i="1" s="1"/>
  <c r="AC21" i="1"/>
  <c r="AI21" i="1" s="1"/>
  <c r="AN21" i="1" s="1"/>
  <c r="AC68" i="1"/>
  <c r="AI68" i="1" s="1"/>
  <c r="AN68" i="1" s="1"/>
  <c r="AC74" i="1"/>
  <c r="AI74" i="1" s="1"/>
  <c r="AN74" i="1" s="1"/>
  <c r="AC18" i="1"/>
  <c r="AI18" i="1" s="1"/>
  <c r="AN18" i="1" s="1"/>
  <c r="AC3" i="1"/>
  <c r="AI3" i="1" s="1"/>
  <c r="AN3" i="1" s="1"/>
  <c r="AC63" i="1"/>
  <c r="AI63" i="1" s="1"/>
  <c r="AN63" i="1" s="1"/>
  <c r="AC53" i="1"/>
  <c r="AI53" i="1" s="1"/>
  <c r="AN53" i="1" s="1"/>
  <c r="AC4" i="1"/>
  <c r="AI4" i="1" s="1"/>
  <c r="AN4" i="1" s="1"/>
  <c r="AC25" i="1"/>
  <c r="AI25" i="1" s="1"/>
  <c r="AN25" i="1" s="1"/>
  <c r="AC12" i="1"/>
  <c r="AI12" i="1" s="1"/>
  <c r="AN12" i="1" s="1"/>
  <c r="AC40" i="1"/>
  <c r="AI40" i="1" s="1"/>
  <c r="AN40" i="1" s="1"/>
  <c r="AC11" i="1"/>
  <c r="AI11" i="1" s="1"/>
  <c r="AN11" i="1" s="1"/>
  <c r="AC10" i="1"/>
  <c r="AI10" i="1" s="1"/>
  <c r="AN10" i="1" s="1"/>
  <c r="AC45" i="1"/>
  <c r="AI45" i="1" s="1"/>
  <c r="AN45" i="1" s="1"/>
  <c r="AC57" i="1"/>
  <c r="AI57" i="1" s="1"/>
  <c r="AN57" i="1" s="1"/>
  <c r="AC13" i="1"/>
  <c r="AI13" i="1" s="1"/>
  <c r="AN13" i="1" s="1"/>
  <c r="AC49" i="1"/>
  <c r="AI49" i="1" s="1"/>
  <c r="AN49" i="1" s="1"/>
  <c r="AC32" i="1"/>
  <c r="AI32" i="1" s="1"/>
  <c r="AN32" i="1" s="1"/>
  <c r="AC58" i="1"/>
  <c r="AI58" i="1" s="1"/>
  <c r="AN58" i="1" s="1"/>
  <c r="AC51" i="1"/>
  <c r="AI51" i="1" s="1"/>
  <c r="AN51" i="1" s="1"/>
  <c r="AC33" i="1"/>
  <c r="AI33" i="1" s="1"/>
  <c r="AN33" i="1" s="1"/>
  <c r="AC50" i="1"/>
  <c r="AI50" i="1" s="1"/>
  <c r="AN50" i="1" s="1"/>
  <c r="AC29" i="1"/>
  <c r="AI29" i="1" s="1"/>
  <c r="AN29" i="1" s="1"/>
  <c r="AC47" i="1"/>
  <c r="AI47" i="1" s="1"/>
  <c r="AN47" i="1" s="1"/>
  <c r="AC35" i="1"/>
  <c r="AI35" i="1" s="1"/>
  <c r="AN35" i="1" s="1"/>
  <c r="AC5" i="1"/>
  <c r="AI5" i="1" s="1"/>
  <c r="AN5" i="1" s="1"/>
  <c r="AC22" i="1"/>
  <c r="AI22" i="1" s="1"/>
  <c r="AN22" i="1" s="1"/>
  <c r="AC72" i="1"/>
  <c r="AI72" i="1" s="1"/>
  <c r="AN72" i="1" s="1"/>
</calcChain>
</file>

<file path=xl/sharedStrings.xml><?xml version="1.0" encoding="utf-8"?>
<sst xmlns="http://schemas.openxmlformats.org/spreadsheetml/2006/main" count="268" uniqueCount="192">
  <si>
    <t>Name</t>
  </si>
  <si>
    <t>Location</t>
  </si>
  <si>
    <t>Selection_Ben</t>
  </si>
  <si>
    <t>Selection_Tom</t>
  </si>
  <si>
    <t>Selection_Total</t>
  </si>
  <si>
    <t>Toilets_Ben</t>
  </si>
  <si>
    <t>Toilets_Tom</t>
  </si>
  <si>
    <t>Toilets_Total</t>
  </si>
  <si>
    <t>Atmos_Ben</t>
  </si>
  <si>
    <t>Atmos_Tom</t>
  </si>
  <si>
    <t>Atmos_Total</t>
  </si>
  <si>
    <t>Price_Ben</t>
  </si>
  <si>
    <t>Price_Tom</t>
  </si>
  <si>
    <t>Price_Total</t>
  </si>
  <si>
    <t>Staff_Ben</t>
  </si>
  <si>
    <t>Staff_Tom</t>
  </si>
  <si>
    <t>Staff_Total</t>
  </si>
  <si>
    <t>Interior_Ben</t>
  </si>
  <si>
    <t>Interior_Tom</t>
  </si>
  <si>
    <t>Interior_Total</t>
  </si>
  <si>
    <t>Exterior_Ben</t>
  </si>
  <si>
    <t>Exterior_Tom</t>
  </si>
  <si>
    <t>Exterior_Total</t>
  </si>
  <si>
    <t>Extras_Ben</t>
  </si>
  <si>
    <t>Extras_Tom</t>
  </si>
  <si>
    <t>Extras_Total</t>
  </si>
  <si>
    <t>PreFood_Ben</t>
  </si>
  <si>
    <t>PreFood_Tom</t>
  </si>
  <si>
    <t>PreFood_Total</t>
  </si>
  <si>
    <t>Foodage_Ben</t>
  </si>
  <si>
    <t>Foodage_Tom</t>
  </si>
  <si>
    <t>Foodage_Total</t>
  </si>
  <si>
    <t>PreGuinness_Ben</t>
  </si>
  <si>
    <t>PreGuinness_Tom</t>
  </si>
  <si>
    <t>PreGuinness_Total</t>
  </si>
  <si>
    <t>DoesGuinness?</t>
  </si>
  <si>
    <t>Guinness_Ben</t>
  </si>
  <si>
    <t>Guinness_Tom</t>
  </si>
  <si>
    <t>Guinness_Total</t>
  </si>
  <si>
    <t>PostGuinnessTotal</t>
  </si>
  <si>
    <t>Cottage Inn</t>
  </si>
  <si>
    <t>Baltic Wharf, Cumberland Rd, Bristol, BS1 6XG</t>
  </si>
  <si>
    <t>y</t>
  </si>
  <si>
    <t>Volunteer Tavern</t>
  </si>
  <si>
    <t>9 New St, Bristol, BS2 9DX</t>
  </si>
  <si>
    <t>n</t>
  </si>
  <si>
    <t>The Lock Keeper</t>
  </si>
  <si>
    <t>Bitton Rd, Keynsham Rd, Keynsham, Bristol, BS31 2DD</t>
  </si>
  <si>
    <t>Victoria Park</t>
  </si>
  <si>
    <t>12 Hill Ave, Bristol, BS3 4LL</t>
  </si>
  <si>
    <t>Commercial Rooms</t>
  </si>
  <si>
    <t>43-45 Corn Street, Bristol, BS1 1HT</t>
  </si>
  <si>
    <t>Grain Barge</t>
  </si>
  <si>
    <t>Hotwell Rd, Bristol, BS8 4RU</t>
  </si>
  <si>
    <t>Highbury Vaults</t>
  </si>
  <si>
    <t>164 St Michael's Hill, Bristol, BS2 8DE</t>
  </si>
  <si>
    <t>Steam</t>
  </si>
  <si>
    <t>Clifton Down Station, Whiteladies Rd, Clifton, Bristol, BS8 2PN</t>
  </si>
  <si>
    <t>The New Inn</t>
  </si>
  <si>
    <t>90 Bath Hill, Keynsham, Bristol, BS31 1HN</t>
  </si>
  <si>
    <t>Berkley</t>
  </si>
  <si>
    <t>15-19 Queens Rd, Bristol, BS8 1QE</t>
  </si>
  <si>
    <t>Cadbury</t>
  </si>
  <si>
    <t>68 Richmond Rd, Montpelier, Bristol, BS6 5EW</t>
  </si>
  <si>
    <t>The Punchbowl</t>
  </si>
  <si>
    <t>23 Old Market St, St Philip's, Bristol, BS2 0HB</t>
  </si>
  <si>
    <t>Llandoger Trow</t>
  </si>
  <si>
    <t>King St, Bristol, BS1 4ER</t>
  </si>
  <si>
    <t>Hope and Anchor</t>
  </si>
  <si>
    <t>38 Jacob's Wells Rd, Bristol, BS8 1DR</t>
  </si>
  <si>
    <t>King Street Brewhouse</t>
  </si>
  <si>
    <t>13 Welsh Back, Bristol, BS1 4RR</t>
  </si>
  <si>
    <t>The Albion</t>
  </si>
  <si>
    <t>Boyce's Ave, Clifton, Clifton Village, Bristol, BS8 4AA</t>
  </si>
  <si>
    <t>The Apple</t>
  </si>
  <si>
    <t>Welsh Back, Bristol, BS1 4SB</t>
  </si>
  <si>
    <t>Small Bar</t>
  </si>
  <si>
    <t>31 King St, Bristol, BS1 4DZ</t>
  </si>
  <si>
    <t>Keynsham Courtyard</t>
  </si>
  <si>
    <t>19 High St, Keynsham, Bristol, BS31 1DP</t>
  </si>
  <si>
    <t>Nova Scotia</t>
  </si>
  <si>
    <t>1 Nova Scotia Pl, Bristol, BS1 6XJ</t>
  </si>
  <si>
    <t>Christmas Steps</t>
  </si>
  <si>
    <t>2 Christmas Steps, Bristol, BS1 5BS</t>
  </si>
  <si>
    <t>Green man</t>
  </si>
  <si>
    <t>21 Alfred Pl, Bristol, BS2 8HD</t>
  </si>
  <si>
    <t>The Clyde</t>
  </si>
  <si>
    <t>Foley Cottage, 129 Hampton Rd, Redland, Bristol, BS6 6JE</t>
  </si>
  <si>
    <t>Barley Mow</t>
  </si>
  <si>
    <t>39 Barton Rd, St Philip's, Bristol, BS2 0LF</t>
  </si>
  <si>
    <t>Bank Tavern</t>
  </si>
  <si>
    <t>8 John St, Bristol, BS1 2HR</t>
  </si>
  <si>
    <t>White Harte (The)</t>
  </si>
  <si>
    <t>54-58 Park Row, Bristol, BS1 5LH</t>
  </si>
  <si>
    <t>The Gryphon</t>
  </si>
  <si>
    <t>41 Colston St, Bristol, BS1 5AP</t>
  </si>
  <si>
    <t>V Shed</t>
  </si>
  <si>
    <t>Canon's Rd, Bristol, BS1 5UH</t>
  </si>
  <si>
    <t>The Crown</t>
  </si>
  <si>
    <t>10 All Saints Ln, Avon, Bristol, BS1 1JH</t>
  </si>
  <si>
    <t>Golden Guinea</t>
  </si>
  <si>
    <t>19 Guinea St, Redcliffe, Bristol, BS1 6SX</t>
  </si>
  <si>
    <t>The Boardroom</t>
  </si>
  <si>
    <t>Market Chambers, 20 St Nicholas St, Bristol, BS1 1UB</t>
  </si>
  <si>
    <t>Birkett tap</t>
  </si>
  <si>
    <t>16-24 Baldwin St, Bristol, BS1 1SE</t>
  </si>
  <si>
    <t>White harte (coach station)</t>
  </si>
  <si>
    <t>Lower Maudlin St, Bristol, BS1 2LU</t>
  </si>
  <si>
    <t>Mother's Ruin</t>
  </si>
  <si>
    <t>7-9 St Nicholas St, Bristol, BS1 1UE</t>
  </si>
  <si>
    <t>The Brassmill</t>
  </si>
  <si>
    <t>Avon Mill Ln, Keynsham, Bristol, BS31 2UG</t>
  </si>
  <si>
    <t>White Harte (Bedminster)</t>
  </si>
  <si>
    <t>84 Bedminster Parade, Bristol, BS3 4HL</t>
  </si>
  <si>
    <t>Allstars</t>
  </si>
  <si>
    <t>Cotham Porter Stores</t>
  </si>
  <si>
    <t>15 Cotham Rd S, Bristol, BS6 5TZ</t>
  </si>
  <si>
    <t>Robin Hood</t>
  </si>
  <si>
    <t>56 St Michael's Hill, Bristol, BS2 8DX</t>
  </si>
  <si>
    <t>Shakespeare</t>
  </si>
  <si>
    <t>68 Prince St, Bristol, BS1 4QD</t>
  </si>
  <si>
    <t>Rising Sun</t>
  </si>
  <si>
    <t>Alfred Rd, Windmill Hill, Bristol, BS3 4LU</t>
  </si>
  <si>
    <t>The Long Bar</t>
  </si>
  <si>
    <t>70 Old Market St, Bristol, BS2 0EJ</t>
  </si>
  <si>
    <t>Trout Tavern</t>
  </si>
  <si>
    <t>46 Temple St, Keynsham, Bristol, BS31 1EH</t>
  </si>
  <si>
    <t>Sportsman</t>
  </si>
  <si>
    <t>40 Colston St, Bristol, BS1 5AE</t>
  </si>
  <si>
    <t>The Old Bank</t>
  </si>
  <si>
    <t>20 High St, Keynsham, Bristol, BS31 1DQ</t>
  </si>
  <si>
    <t>Merchant Arms</t>
  </si>
  <si>
    <t>5 Merchants Rd, Hotwells, Bristol, BS8 4PZ</t>
  </si>
  <si>
    <t>Mardyke</t>
  </si>
  <si>
    <t>126 Hotwell Rd, Hotwells, Bristol, BS8 4UB</t>
  </si>
  <si>
    <t>Quinton House</t>
  </si>
  <si>
    <t>2 Park Pl, Clifton, Bristol, BS8 1JW</t>
  </si>
  <si>
    <t>Bonzo Lounge</t>
  </si>
  <si>
    <t>168 Whiteladies Rd, Clifton, Avon, Bristol, BS8 2XZ</t>
  </si>
  <si>
    <t>Pipe and Slippers</t>
  </si>
  <si>
    <t>118 Cheltenham Rd, Montpelier, Bristol, BS6 5RW</t>
  </si>
  <si>
    <t>Orchard</t>
  </si>
  <si>
    <t>The Orchard Inn, 12 Hanover Pl, Bristol, BS1 6XT</t>
  </si>
  <si>
    <t>The Clifton</t>
  </si>
  <si>
    <t>16 Regent St, Clifton, Bristol, BS8 4HG</t>
  </si>
  <si>
    <t>Lime Kiln</t>
  </si>
  <si>
    <t>17 St George's Rd, Bristol, BS1 5UU</t>
  </si>
  <si>
    <t>Allteregos</t>
  </si>
  <si>
    <t>81 Whiteladies Rd, Redland, Bristol, BS8 2NT</t>
  </si>
  <si>
    <t>The Woods</t>
  </si>
  <si>
    <t>1 Park St Ave, Bristol, BS1 5LQ</t>
  </si>
  <si>
    <t>Miles Arms</t>
  </si>
  <si>
    <t>181 Avonmouth Rd, Avonmouth, Bristol, BS11 9LP</t>
  </si>
  <si>
    <t>Three Tuns</t>
  </si>
  <si>
    <t>78 St George's Rd, Bristol, BS1 5UR</t>
  </si>
  <si>
    <t>Ill Repute</t>
  </si>
  <si>
    <t>King William Ale House</t>
  </si>
  <si>
    <t>Drawbridge</t>
  </si>
  <si>
    <t>The Bridge Inn</t>
  </si>
  <si>
    <t>Stag and Hounds</t>
  </si>
  <si>
    <t>Old Market Tavern</t>
  </si>
  <si>
    <t>16 Passage St, Bristol, BS2 0JF</t>
  </si>
  <si>
    <t>74 Old Market Street, Bristol, BS2 0EJ</t>
  </si>
  <si>
    <t>29-30 Old Market St, Bristol, BS2 0HB</t>
  </si>
  <si>
    <t>20 King St, Bristol, BS1 4EF</t>
  </si>
  <si>
    <t>16 West St, Bristol, BS2 0DF</t>
  </si>
  <si>
    <t>14 St Augustine's Parade, Bristol, BS1 4UT</t>
  </si>
  <si>
    <t>Black Castle</t>
  </si>
  <si>
    <t>Zero Degrees</t>
  </si>
  <si>
    <t>Sandringham</t>
  </si>
  <si>
    <t>Grounded (Brislington)</t>
  </si>
  <si>
    <t>The Pilgrim</t>
  </si>
  <si>
    <t>Kings Arms (Whiteladies)</t>
  </si>
  <si>
    <t>Kings Arms (Brislington)</t>
  </si>
  <si>
    <t>Lodekka</t>
  </si>
  <si>
    <t>The Knowle</t>
  </si>
  <si>
    <t>George</t>
  </si>
  <si>
    <t>The Oxford</t>
  </si>
  <si>
    <t>New Found Out</t>
  </si>
  <si>
    <t>53 Colston St, Bristol, BS1 5BA</t>
  </si>
  <si>
    <t>1 Henry St, Totterdown, Bristol, BS3 4UD</t>
  </si>
  <si>
    <t>21 Hollywood Rd, Brislington, Bristol, BS4 4LE</t>
  </si>
  <si>
    <t>122 Oxford St, Totterdown, Bristol, BS3 4RL</t>
  </si>
  <si>
    <t>Leighton Rd, Knowle, Bristol, BS4 2LL</t>
  </si>
  <si>
    <t>8 Sandy Park Rd, Brislington, Bristol, BS4 3PE</t>
  </si>
  <si>
    <t>60 Green St, Totterdown, Bristol, BS3 4UB</t>
  </si>
  <si>
    <t>Tramway Rd, Brislington, Bristol, BS4 3DS</t>
  </si>
  <si>
    <t>53-55 Sandy Park Rd, Brislington, Bristol, BS4 3PE</t>
  </si>
  <si>
    <t>228 Wells Rd, Knowle, Bristol, BS4 2AX</t>
  </si>
  <si>
    <t>8-9 Market Walk, Keynsham, Bristol, BS31 1FS</t>
  </si>
  <si>
    <t>St Philips Causeway, Arno's Vale, Bristol, BS4 3BD</t>
  </si>
  <si>
    <t>1 Hollywood Rd, Brislington, Bristol, BS4 4LF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</si>
</sst>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6565"/>
        <bgColor indexed="64"/>
      </patternFill>
    </fill>
    <fill>
      <patternFill patternType="solid">
        <fgColor rgb="FFB5C6E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D01"/>
        <bgColor indexed="64"/>
      </patternFill>
    </fill>
    <fill>
      <patternFill patternType="solid">
        <fgColor rgb="FF91D050"/>
        <bgColor indexed="64"/>
      </patternFill>
    </fill>
    <fill>
      <patternFill patternType="solid">
        <fgColor rgb="FF609ED6"/>
        <bgColor indexed="64"/>
      </patternFill>
    </fill>
    <fill>
      <patternFill patternType="solid">
        <fgColor rgb="FF0AD05E"/>
        <bgColor indexed="64"/>
      </patternFill>
    </fill>
    <fill>
      <patternFill patternType="solid">
        <fgColor rgb="FFE600E7"/>
        <bgColor indexed="64"/>
      </patternFill>
    </fill>
    <fill>
      <patternFill patternType="solid">
        <fgColor rgb="FFFE00FF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0" borderId="0" xfId="0" applyFill="1"/>
    <xf numFmtId="0" fontId="17" fillId="42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E00FF"/>
      <color rgb="FFE600E7"/>
      <color rgb="FF0AD05E"/>
      <color rgb="FF609ED6"/>
      <color rgb="FF91D050"/>
      <color rgb="FFFFFD01"/>
      <color rgb="FFFFC000"/>
      <color rgb="FFB5C6E8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E37D1-C1ED-E147-AC9D-308FEE2D06CD}">
  <dimension ref="A1:BW1049"/>
  <sheetViews>
    <sheetView tabSelected="1" topLeftCell="A22" workbookViewId="0">
      <selection activeCell="B28" sqref="B28"/>
    </sheetView>
  </sheetViews>
  <sheetFormatPr baseColWidth="10" defaultRowHeight="16" x14ac:dyDescent="0.2"/>
  <cols>
    <col min="1" max="1" width="23.6640625" bestFit="1" customWidth="1"/>
    <col min="3" max="75" width="10.83203125" style="11"/>
  </cols>
  <sheetData>
    <row r="1" spans="1:40" x14ac:dyDescent="0.2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5" t="s">
        <v>11</v>
      </c>
      <c r="M1" s="5" t="s">
        <v>12</v>
      </c>
      <c r="N1" s="5" t="s">
        <v>13</v>
      </c>
      <c r="O1" s="6" t="s">
        <v>14</v>
      </c>
      <c r="P1" s="6" t="s">
        <v>15</v>
      </c>
      <c r="Q1" s="6" t="s">
        <v>16</v>
      </c>
      <c r="R1" s="7" t="s">
        <v>17</v>
      </c>
      <c r="S1" s="7" t="s">
        <v>18</v>
      </c>
      <c r="T1" s="7" t="s">
        <v>19</v>
      </c>
      <c r="U1" s="8" t="s">
        <v>20</v>
      </c>
      <c r="V1" s="8" t="s">
        <v>21</v>
      </c>
      <c r="W1" s="8" t="s">
        <v>22</v>
      </c>
      <c r="X1" s="9" t="s">
        <v>23</v>
      </c>
      <c r="Y1" s="9" t="s">
        <v>24</v>
      </c>
      <c r="Z1" s="9" t="s">
        <v>25</v>
      </c>
      <c r="AA1" s="11" t="s">
        <v>26</v>
      </c>
      <c r="AB1" s="11" t="s">
        <v>27</v>
      </c>
      <c r="AC1" s="11" t="s">
        <v>28</v>
      </c>
      <c r="AD1" s="10" t="s">
        <v>29</v>
      </c>
      <c r="AE1" s="10" t="s">
        <v>30</v>
      </c>
      <c r="AF1" s="10" t="s">
        <v>31</v>
      </c>
      <c r="AG1" s="11" t="s">
        <v>32</v>
      </c>
      <c r="AH1" s="11" t="s">
        <v>33</v>
      </c>
      <c r="AI1" s="11" t="s">
        <v>34</v>
      </c>
      <c r="AJ1" s="11" t="s">
        <v>35</v>
      </c>
      <c r="AK1" s="12" t="s">
        <v>36</v>
      </c>
      <c r="AL1" s="12" t="s">
        <v>37</v>
      </c>
      <c r="AM1" s="12" t="s">
        <v>38</v>
      </c>
      <c r="AN1" s="11" t="s">
        <v>39</v>
      </c>
    </row>
    <row r="2" spans="1:40" x14ac:dyDescent="0.2">
      <c r="A2" t="s">
        <v>114</v>
      </c>
      <c r="B2" t="s">
        <v>61</v>
      </c>
      <c r="C2" s="2">
        <v>4.5</v>
      </c>
      <c r="D2" s="2">
        <v>3.5</v>
      </c>
      <c r="E2" s="2">
        <f t="shared" ref="E2:E39" si="0">C2+D2</f>
        <v>8</v>
      </c>
      <c r="F2" s="3">
        <v>2</v>
      </c>
      <c r="G2" s="3">
        <v>1.5</v>
      </c>
      <c r="H2" s="3">
        <f t="shared" ref="H2:H39" si="1">F2+G2</f>
        <v>3.5</v>
      </c>
      <c r="I2" s="4">
        <v>4</v>
      </c>
      <c r="J2" s="4">
        <v>4.5</v>
      </c>
      <c r="K2" s="4">
        <f t="shared" ref="K2:K39" si="2">I2+J2</f>
        <v>8.5</v>
      </c>
      <c r="L2" s="5">
        <v>1</v>
      </c>
      <c r="M2" s="5">
        <v>1</v>
      </c>
      <c r="N2" s="5">
        <f t="shared" ref="N2:N39" si="3">L2+M2</f>
        <v>2</v>
      </c>
      <c r="O2" s="6">
        <v>3.5</v>
      </c>
      <c r="P2" s="6">
        <v>3.5</v>
      </c>
      <c r="Q2" s="6">
        <f t="shared" ref="Q2:Q39" si="4">O2+P2</f>
        <v>7</v>
      </c>
      <c r="R2" s="7">
        <v>3.5</v>
      </c>
      <c r="S2" s="7">
        <v>3.5</v>
      </c>
      <c r="T2" s="7">
        <f t="shared" ref="T2:T39" si="5">R2+S2</f>
        <v>7</v>
      </c>
      <c r="U2" s="8">
        <v>0.5</v>
      </c>
      <c r="V2" s="8">
        <v>0.5</v>
      </c>
      <c r="W2" s="8">
        <f t="shared" ref="W2:W39" si="6">U2+V2</f>
        <v>1</v>
      </c>
      <c r="X2" s="9">
        <v>4.5</v>
      </c>
      <c r="Y2" s="9">
        <v>5</v>
      </c>
      <c r="Z2" s="9">
        <f t="shared" ref="Z2:Z39" si="7">X2+Y2</f>
        <v>9.5</v>
      </c>
      <c r="AA2" s="11">
        <f t="shared" ref="AA2:AA39" si="8">C2+F2+I2+L2+O2+R2+U2+X2</f>
        <v>23.5</v>
      </c>
      <c r="AB2" s="11">
        <f t="shared" ref="AB2:AB39" si="9">D2+G2+J2+M2+P2+S2+V2+Y2</f>
        <v>23</v>
      </c>
      <c r="AC2" s="11">
        <f t="shared" ref="AC2:AC39" si="10">AA2+AB2</f>
        <v>46.5</v>
      </c>
      <c r="AD2" s="10">
        <v>3</v>
      </c>
      <c r="AE2" s="10">
        <v>3</v>
      </c>
      <c r="AF2" s="10">
        <f t="shared" ref="AF2:AF39" si="11">AD2+AE2</f>
        <v>6</v>
      </c>
      <c r="AG2" s="11">
        <f t="shared" ref="AG2:AG39" si="12">AA2+AD2</f>
        <v>26.5</v>
      </c>
      <c r="AH2" s="11">
        <f t="shared" ref="AH2:AH39" si="13">AB2+AE2</f>
        <v>26</v>
      </c>
      <c r="AI2" s="11">
        <f t="shared" ref="AI2:AI39" si="14">AC2+AF2</f>
        <v>52.5</v>
      </c>
      <c r="AJ2" s="11" t="s">
        <v>42</v>
      </c>
      <c r="AK2" s="12">
        <v>4</v>
      </c>
      <c r="AL2" s="12">
        <v>4</v>
      </c>
      <c r="AM2" s="12">
        <f t="shared" ref="AM2:AM39" si="15">AK2+AL2</f>
        <v>8</v>
      </c>
      <c r="AN2" s="11">
        <f t="shared" ref="AN2:AN39" si="16">AI2+AM2</f>
        <v>60.5</v>
      </c>
    </row>
    <row r="3" spans="1:40" x14ac:dyDescent="0.2">
      <c r="A3" t="s">
        <v>147</v>
      </c>
      <c r="B3" t="s">
        <v>148</v>
      </c>
      <c r="C3" s="2">
        <v>2</v>
      </c>
      <c r="D3" s="2">
        <v>2.5</v>
      </c>
      <c r="E3" s="2">
        <f t="shared" si="0"/>
        <v>4.5</v>
      </c>
      <c r="F3" s="3">
        <v>2.5</v>
      </c>
      <c r="G3" s="3">
        <v>2.5</v>
      </c>
      <c r="H3" s="3">
        <f t="shared" si="1"/>
        <v>5</v>
      </c>
      <c r="I3" s="4">
        <v>2</v>
      </c>
      <c r="J3" s="4">
        <v>2</v>
      </c>
      <c r="K3" s="4">
        <f t="shared" si="2"/>
        <v>4</v>
      </c>
      <c r="L3" s="5">
        <v>3.5</v>
      </c>
      <c r="M3" s="5">
        <v>3</v>
      </c>
      <c r="N3" s="5">
        <f t="shared" si="3"/>
        <v>6.5</v>
      </c>
      <c r="O3" s="6">
        <v>2.5</v>
      </c>
      <c r="P3" s="6">
        <v>2</v>
      </c>
      <c r="Q3" s="6">
        <f t="shared" si="4"/>
        <v>4.5</v>
      </c>
      <c r="R3" s="7">
        <v>2.5</v>
      </c>
      <c r="S3" s="7">
        <v>3</v>
      </c>
      <c r="T3" s="7">
        <f t="shared" si="5"/>
        <v>5.5</v>
      </c>
      <c r="U3" s="8">
        <v>1</v>
      </c>
      <c r="V3" s="8">
        <v>1.5</v>
      </c>
      <c r="W3" s="8">
        <f t="shared" si="6"/>
        <v>2.5</v>
      </c>
      <c r="X3" s="9">
        <v>3.5</v>
      </c>
      <c r="Y3" s="9">
        <v>3.5</v>
      </c>
      <c r="Z3" s="9">
        <f t="shared" si="7"/>
        <v>7</v>
      </c>
      <c r="AA3" s="11">
        <f t="shared" si="8"/>
        <v>19.5</v>
      </c>
      <c r="AB3" s="11">
        <f t="shared" si="9"/>
        <v>20</v>
      </c>
      <c r="AC3" s="11">
        <f t="shared" si="10"/>
        <v>39.5</v>
      </c>
      <c r="AD3" s="10">
        <v>1</v>
      </c>
      <c r="AE3" s="10">
        <v>1</v>
      </c>
      <c r="AF3" s="10">
        <f t="shared" si="11"/>
        <v>2</v>
      </c>
      <c r="AG3" s="11">
        <f t="shared" si="12"/>
        <v>20.5</v>
      </c>
      <c r="AH3" s="11">
        <f t="shared" si="13"/>
        <v>21</v>
      </c>
      <c r="AI3" s="11">
        <f t="shared" si="14"/>
        <v>41.5</v>
      </c>
      <c r="AJ3" s="11" t="s">
        <v>42</v>
      </c>
      <c r="AK3" s="12">
        <v>3</v>
      </c>
      <c r="AL3" s="12">
        <v>3</v>
      </c>
      <c r="AM3" s="12">
        <f t="shared" si="15"/>
        <v>6</v>
      </c>
      <c r="AN3" s="11">
        <f t="shared" si="16"/>
        <v>47.5</v>
      </c>
    </row>
    <row r="4" spans="1:40" x14ac:dyDescent="0.2">
      <c r="A4" t="s">
        <v>90</v>
      </c>
      <c r="B4" t="s">
        <v>91</v>
      </c>
      <c r="C4" s="2">
        <v>3</v>
      </c>
      <c r="D4" s="2">
        <v>3</v>
      </c>
      <c r="E4" s="2">
        <f t="shared" si="0"/>
        <v>6</v>
      </c>
      <c r="F4" s="3">
        <v>4</v>
      </c>
      <c r="G4" s="3">
        <v>2.5</v>
      </c>
      <c r="H4" s="3">
        <f t="shared" si="1"/>
        <v>6.5</v>
      </c>
      <c r="I4" s="4">
        <v>3</v>
      </c>
      <c r="J4" s="4">
        <v>3.5</v>
      </c>
      <c r="K4" s="4">
        <f t="shared" si="2"/>
        <v>6.5</v>
      </c>
      <c r="L4" s="5">
        <v>2</v>
      </c>
      <c r="M4" s="5">
        <v>1.5</v>
      </c>
      <c r="N4" s="5">
        <f t="shared" si="3"/>
        <v>3.5</v>
      </c>
      <c r="O4" s="6">
        <v>3</v>
      </c>
      <c r="P4" s="6">
        <v>3.5</v>
      </c>
      <c r="Q4" s="6">
        <f t="shared" si="4"/>
        <v>6.5</v>
      </c>
      <c r="R4" s="7">
        <v>3</v>
      </c>
      <c r="S4" s="7">
        <v>3.5</v>
      </c>
      <c r="T4" s="7">
        <f t="shared" si="5"/>
        <v>6.5</v>
      </c>
      <c r="U4" s="8">
        <v>3.5</v>
      </c>
      <c r="V4" s="8">
        <v>4</v>
      </c>
      <c r="W4" s="8">
        <f t="shared" si="6"/>
        <v>7.5</v>
      </c>
      <c r="X4" s="9">
        <v>3</v>
      </c>
      <c r="Y4" s="9">
        <v>3</v>
      </c>
      <c r="Z4" s="9">
        <f t="shared" si="7"/>
        <v>6</v>
      </c>
      <c r="AA4" s="11">
        <f t="shared" si="8"/>
        <v>24.5</v>
      </c>
      <c r="AB4" s="11">
        <f t="shared" si="9"/>
        <v>24.5</v>
      </c>
      <c r="AC4" s="11">
        <f t="shared" si="10"/>
        <v>49</v>
      </c>
      <c r="AD4" s="10">
        <v>3</v>
      </c>
      <c r="AE4" s="10">
        <v>4</v>
      </c>
      <c r="AF4" s="10">
        <f t="shared" si="11"/>
        <v>7</v>
      </c>
      <c r="AG4" s="11">
        <f t="shared" si="12"/>
        <v>27.5</v>
      </c>
      <c r="AH4" s="11">
        <f t="shared" si="13"/>
        <v>28.5</v>
      </c>
      <c r="AI4" s="11">
        <f t="shared" si="14"/>
        <v>56</v>
      </c>
      <c r="AJ4" s="11" t="s">
        <v>42</v>
      </c>
      <c r="AK4" s="12">
        <v>0</v>
      </c>
      <c r="AL4" s="12">
        <v>0</v>
      </c>
      <c r="AM4" s="12">
        <f t="shared" si="15"/>
        <v>0</v>
      </c>
      <c r="AN4" s="11">
        <f t="shared" si="16"/>
        <v>56</v>
      </c>
    </row>
    <row r="5" spans="1:40" x14ac:dyDescent="0.2">
      <c r="A5" t="s">
        <v>88</v>
      </c>
      <c r="B5" t="s">
        <v>89</v>
      </c>
      <c r="C5" s="2">
        <v>3.5</v>
      </c>
      <c r="D5" s="2">
        <v>3</v>
      </c>
      <c r="E5" s="2">
        <f t="shared" si="0"/>
        <v>6.5</v>
      </c>
      <c r="F5" s="3">
        <v>2</v>
      </c>
      <c r="G5" s="3">
        <v>3</v>
      </c>
      <c r="H5" s="3">
        <f t="shared" si="1"/>
        <v>5</v>
      </c>
      <c r="I5" s="4">
        <v>4.5</v>
      </c>
      <c r="J5" s="4">
        <v>4</v>
      </c>
      <c r="K5" s="4">
        <f t="shared" si="2"/>
        <v>8.5</v>
      </c>
      <c r="L5" s="5">
        <v>3</v>
      </c>
      <c r="M5" s="5">
        <v>3</v>
      </c>
      <c r="N5" s="5">
        <f t="shared" si="3"/>
        <v>6</v>
      </c>
      <c r="O5" s="6">
        <v>2.5</v>
      </c>
      <c r="P5" s="6">
        <v>2.5</v>
      </c>
      <c r="Q5" s="6">
        <f t="shared" si="4"/>
        <v>5</v>
      </c>
      <c r="R5" s="7">
        <v>3</v>
      </c>
      <c r="S5" s="7">
        <v>3.5</v>
      </c>
      <c r="T5" s="7">
        <f t="shared" si="5"/>
        <v>6.5</v>
      </c>
      <c r="U5" s="8">
        <v>3</v>
      </c>
      <c r="V5" s="8">
        <v>4</v>
      </c>
      <c r="W5" s="8">
        <f t="shared" si="6"/>
        <v>7</v>
      </c>
      <c r="X5" s="9">
        <v>3</v>
      </c>
      <c r="Y5" s="9">
        <v>3.5</v>
      </c>
      <c r="Z5" s="9">
        <f t="shared" si="7"/>
        <v>6.5</v>
      </c>
      <c r="AA5" s="11">
        <f t="shared" si="8"/>
        <v>24.5</v>
      </c>
      <c r="AB5" s="11">
        <f t="shared" si="9"/>
        <v>26.5</v>
      </c>
      <c r="AC5" s="11">
        <f t="shared" si="10"/>
        <v>51</v>
      </c>
      <c r="AD5" s="10">
        <v>2.5</v>
      </c>
      <c r="AE5" s="10">
        <v>3</v>
      </c>
      <c r="AF5" s="10">
        <f t="shared" si="11"/>
        <v>5.5</v>
      </c>
      <c r="AG5" s="11">
        <f t="shared" si="12"/>
        <v>27</v>
      </c>
      <c r="AH5" s="11">
        <f t="shared" si="13"/>
        <v>29.5</v>
      </c>
      <c r="AI5" s="11">
        <f t="shared" si="14"/>
        <v>56.5</v>
      </c>
      <c r="AJ5" s="11" t="s">
        <v>45</v>
      </c>
      <c r="AK5" s="12">
        <v>0</v>
      </c>
      <c r="AL5" s="12">
        <v>0</v>
      </c>
      <c r="AM5" s="12">
        <f t="shared" si="15"/>
        <v>0</v>
      </c>
      <c r="AN5" s="11">
        <f t="shared" si="16"/>
        <v>56.5</v>
      </c>
    </row>
    <row r="6" spans="1:40" x14ac:dyDescent="0.2">
      <c r="A6" t="s">
        <v>60</v>
      </c>
      <c r="B6" t="s">
        <v>61</v>
      </c>
      <c r="C6" s="2">
        <v>4.5</v>
      </c>
      <c r="D6" s="2">
        <v>4.5</v>
      </c>
      <c r="E6" s="2">
        <f t="shared" si="0"/>
        <v>9</v>
      </c>
      <c r="F6" s="3">
        <v>4</v>
      </c>
      <c r="G6" s="3">
        <v>3.5</v>
      </c>
      <c r="H6" s="3">
        <f t="shared" si="1"/>
        <v>7.5</v>
      </c>
      <c r="I6" s="4">
        <v>3</v>
      </c>
      <c r="J6" s="4">
        <v>3.5</v>
      </c>
      <c r="K6" s="4">
        <f t="shared" si="2"/>
        <v>6.5</v>
      </c>
      <c r="L6" s="5">
        <v>4.5</v>
      </c>
      <c r="M6" s="5">
        <v>4.5</v>
      </c>
      <c r="N6" s="5">
        <f t="shared" si="3"/>
        <v>9</v>
      </c>
      <c r="O6" s="6">
        <v>3</v>
      </c>
      <c r="P6" s="6">
        <v>3</v>
      </c>
      <c r="Q6" s="6">
        <f t="shared" si="4"/>
        <v>6</v>
      </c>
      <c r="R6" s="7">
        <v>4</v>
      </c>
      <c r="S6" s="7">
        <v>4</v>
      </c>
      <c r="T6" s="7">
        <f t="shared" si="5"/>
        <v>8</v>
      </c>
      <c r="U6" s="8">
        <v>1</v>
      </c>
      <c r="V6" s="8">
        <v>0.5</v>
      </c>
      <c r="W6" s="8">
        <f t="shared" si="6"/>
        <v>1.5</v>
      </c>
      <c r="X6" s="9">
        <v>3.5</v>
      </c>
      <c r="Y6" s="9">
        <v>3</v>
      </c>
      <c r="Z6" s="9">
        <f t="shared" si="7"/>
        <v>6.5</v>
      </c>
      <c r="AA6" s="11">
        <f t="shared" si="8"/>
        <v>27.5</v>
      </c>
      <c r="AB6" s="11">
        <f t="shared" si="9"/>
        <v>26.5</v>
      </c>
      <c r="AC6" s="11">
        <f t="shared" si="10"/>
        <v>54</v>
      </c>
      <c r="AD6" s="10">
        <v>2.5</v>
      </c>
      <c r="AE6" s="10">
        <v>3.5</v>
      </c>
      <c r="AF6" s="10">
        <f t="shared" si="11"/>
        <v>6</v>
      </c>
      <c r="AG6" s="11">
        <f t="shared" si="12"/>
        <v>30</v>
      </c>
      <c r="AH6" s="11">
        <f t="shared" si="13"/>
        <v>30</v>
      </c>
      <c r="AI6" s="11">
        <f t="shared" si="14"/>
        <v>60</v>
      </c>
      <c r="AJ6" s="11" t="s">
        <v>42</v>
      </c>
      <c r="AK6" s="12">
        <v>1.5</v>
      </c>
      <c r="AL6" s="12">
        <v>2</v>
      </c>
      <c r="AM6" s="12">
        <f t="shared" si="15"/>
        <v>3.5</v>
      </c>
      <c r="AN6" s="11">
        <f t="shared" si="16"/>
        <v>63.5</v>
      </c>
    </row>
    <row r="7" spans="1:40" x14ac:dyDescent="0.2">
      <c r="A7" t="s">
        <v>104</v>
      </c>
      <c r="B7" t="s">
        <v>105</v>
      </c>
      <c r="C7" s="2">
        <v>4</v>
      </c>
      <c r="D7" s="2">
        <v>4</v>
      </c>
      <c r="E7" s="2">
        <f t="shared" si="0"/>
        <v>8</v>
      </c>
      <c r="F7" s="3">
        <v>4</v>
      </c>
      <c r="G7" s="3">
        <v>4</v>
      </c>
      <c r="H7" s="3">
        <f t="shared" si="1"/>
        <v>8</v>
      </c>
      <c r="I7" s="4">
        <v>2.5</v>
      </c>
      <c r="J7" s="4">
        <v>2.5</v>
      </c>
      <c r="K7" s="4">
        <f t="shared" si="2"/>
        <v>5</v>
      </c>
      <c r="L7" s="5">
        <v>2</v>
      </c>
      <c r="M7" s="5">
        <v>2.5</v>
      </c>
      <c r="N7" s="5">
        <f t="shared" si="3"/>
        <v>4.5</v>
      </c>
      <c r="O7" s="6">
        <v>2.5</v>
      </c>
      <c r="P7" s="6">
        <v>3</v>
      </c>
      <c r="Q7" s="6">
        <f t="shared" si="4"/>
        <v>5.5</v>
      </c>
      <c r="R7" s="7">
        <v>4</v>
      </c>
      <c r="S7" s="7">
        <v>3.5</v>
      </c>
      <c r="T7" s="7">
        <f t="shared" si="5"/>
        <v>7.5</v>
      </c>
      <c r="U7" s="8">
        <v>1.5</v>
      </c>
      <c r="V7" s="8">
        <v>1.5</v>
      </c>
      <c r="W7" s="8">
        <f t="shared" si="6"/>
        <v>3</v>
      </c>
      <c r="X7" s="9">
        <v>2</v>
      </c>
      <c r="Y7" s="9">
        <v>3</v>
      </c>
      <c r="Z7" s="9">
        <f t="shared" si="7"/>
        <v>5</v>
      </c>
      <c r="AA7" s="11">
        <f t="shared" si="8"/>
        <v>22.5</v>
      </c>
      <c r="AB7" s="11">
        <f t="shared" si="9"/>
        <v>24</v>
      </c>
      <c r="AC7" s="11">
        <f t="shared" si="10"/>
        <v>46.5</v>
      </c>
      <c r="AD7" s="10">
        <v>3.5</v>
      </c>
      <c r="AE7" s="10">
        <v>4</v>
      </c>
      <c r="AF7" s="10">
        <f t="shared" si="11"/>
        <v>7.5</v>
      </c>
      <c r="AG7" s="11">
        <f t="shared" si="12"/>
        <v>26</v>
      </c>
      <c r="AH7" s="11">
        <f t="shared" si="13"/>
        <v>28</v>
      </c>
      <c r="AI7" s="11">
        <f t="shared" si="14"/>
        <v>54</v>
      </c>
      <c r="AJ7" s="11" t="s">
        <v>42</v>
      </c>
      <c r="AK7" s="12">
        <v>3.5</v>
      </c>
      <c r="AL7" s="12">
        <v>3.5</v>
      </c>
      <c r="AM7" s="12">
        <f t="shared" si="15"/>
        <v>7</v>
      </c>
      <c r="AN7" s="11">
        <f t="shared" si="16"/>
        <v>61</v>
      </c>
    </row>
    <row r="8" spans="1:40" x14ac:dyDescent="0.2">
      <c r="A8" t="s">
        <v>167</v>
      </c>
      <c r="B8" t="s">
        <v>190</v>
      </c>
      <c r="C8" s="2">
        <v>3</v>
      </c>
      <c r="D8" s="2">
        <v>2.5</v>
      </c>
      <c r="E8" s="2">
        <f t="shared" si="0"/>
        <v>5.5</v>
      </c>
      <c r="F8" s="3">
        <v>2</v>
      </c>
      <c r="G8" s="3">
        <v>1.5</v>
      </c>
      <c r="H8" s="3">
        <f t="shared" si="1"/>
        <v>3.5</v>
      </c>
      <c r="I8" s="4">
        <v>2</v>
      </c>
      <c r="J8" s="4">
        <v>1.5</v>
      </c>
      <c r="K8" s="4">
        <f t="shared" si="2"/>
        <v>3.5</v>
      </c>
      <c r="L8" s="5">
        <v>3.5</v>
      </c>
      <c r="M8" s="5">
        <v>3.5</v>
      </c>
      <c r="N8" s="5">
        <f t="shared" si="3"/>
        <v>7</v>
      </c>
      <c r="O8" s="6">
        <v>3</v>
      </c>
      <c r="P8" s="6">
        <v>3.5</v>
      </c>
      <c r="Q8" s="6">
        <f t="shared" si="4"/>
        <v>6.5</v>
      </c>
      <c r="R8" s="7">
        <v>2</v>
      </c>
      <c r="S8" s="7">
        <v>2.5</v>
      </c>
      <c r="T8" s="7">
        <f t="shared" si="5"/>
        <v>4.5</v>
      </c>
      <c r="U8" s="8">
        <v>4</v>
      </c>
      <c r="V8" s="8">
        <v>4</v>
      </c>
      <c r="W8" s="8">
        <f t="shared" si="6"/>
        <v>8</v>
      </c>
      <c r="X8" s="9">
        <v>3</v>
      </c>
      <c r="Y8" s="9">
        <v>3</v>
      </c>
      <c r="Z8" s="9">
        <f t="shared" si="7"/>
        <v>6</v>
      </c>
      <c r="AA8" s="11">
        <f t="shared" si="8"/>
        <v>22.5</v>
      </c>
      <c r="AB8" s="11">
        <f t="shared" si="9"/>
        <v>22</v>
      </c>
      <c r="AC8" s="11">
        <f t="shared" si="10"/>
        <v>44.5</v>
      </c>
      <c r="AD8" s="10">
        <v>3</v>
      </c>
      <c r="AE8" s="10">
        <v>2.5</v>
      </c>
      <c r="AF8" s="10">
        <f t="shared" si="11"/>
        <v>5.5</v>
      </c>
      <c r="AG8" s="11">
        <f t="shared" si="12"/>
        <v>25.5</v>
      </c>
      <c r="AH8" s="11">
        <f t="shared" si="13"/>
        <v>24.5</v>
      </c>
      <c r="AI8" s="11">
        <f t="shared" si="14"/>
        <v>50</v>
      </c>
      <c r="AJ8" s="11" t="s">
        <v>42</v>
      </c>
      <c r="AK8" s="12">
        <v>2.5</v>
      </c>
      <c r="AL8" s="12">
        <v>2</v>
      </c>
      <c r="AM8" s="12">
        <f t="shared" si="15"/>
        <v>4.5</v>
      </c>
      <c r="AN8" s="11">
        <f t="shared" si="16"/>
        <v>54.5</v>
      </c>
    </row>
    <row r="9" spans="1:40" x14ac:dyDescent="0.2">
      <c r="A9" t="s">
        <v>137</v>
      </c>
      <c r="B9" t="s">
        <v>189</v>
      </c>
      <c r="C9" s="2">
        <v>1.5</v>
      </c>
      <c r="D9" s="2">
        <v>1.5</v>
      </c>
      <c r="E9" s="2">
        <f t="shared" si="0"/>
        <v>3</v>
      </c>
      <c r="F9" s="3">
        <v>3</v>
      </c>
      <c r="G9" s="3">
        <v>3</v>
      </c>
      <c r="H9" s="3">
        <f t="shared" si="1"/>
        <v>6</v>
      </c>
      <c r="I9" s="4">
        <v>2.5</v>
      </c>
      <c r="J9" s="4">
        <v>3</v>
      </c>
      <c r="K9" s="4">
        <f t="shared" si="2"/>
        <v>5.5</v>
      </c>
      <c r="L9" s="5">
        <v>2</v>
      </c>
      <c r="M9" s="5">
        <v>3</v>
      </c>
      <c r="N9" s="5">
        <f t="shared" si="3"/>
        <v>5</v>
      </c>
      <c r="O9" s="6">
        <v>3</v>
      </c>
      <c r="P9" s="6">
        <v>3</v>
      </c>
      <c r="Q9" s="6">
        <f t="shared" si="4"/>
        <v>6</v>
      </c>
      <c r="R9" s="7">
        <v>2.5</v>
      </c>
      <c r="S9" s="7">
        <v>2.5</v>
      </c>
      <c r="T9" s="7">
        <f t="shared" si="5"/>
        <v>5</v>
      </c>
      <c r="U9" s="8">
        <v>1.5</v>
      </c>
      <c r="V9" s="8">
        <v>3</v>
      </c>
      <c r="W9" s="8">
        <f t="shared" si="6"/>
        <v>4.5</v>
      </c>
      <c r="X9" s="9">
        <v>3</v>
      </c>
      <c r="Y9" s="9">
        <v>3</v>
      </c>
      <c r="Z9" s="9">
        <f t="shared" si="7"/>
        <v>6</v>
      </c>
      <c r="AA9" s="11">
        <f t="shared" si="8"/>
        <v>19</v>
      </c>
      <c r="AB9" s="11">
        <f t="shared" si="9"/>
        <v>22</v>
      </c>
      <c r="AC9" s="11">
        <f t="shared" si="10"/>
        <v>41</v>
      </c>
      <c r="AD9" s="10">
        <v>3.5</v>
      </c>
      <c r="AE9" s="10">
        <v>2.5</v>
      </c>
      <c r="AF9" s="10">
        <f t="shared" si="11"/>
        <v>6</v>
      </c>
      <c r="AG9" s="11">
        <f t="shared" si="12"/>
        <v>22.5</v>
      </c>
      <c r="AH9" s="11">
        <f t="shared" si="13"/>
        <v>24.5</v>
      </c>
      <c r="AI9" s="11">
        <f t="shared" si="14"/>
        <v>47</v>
      </c>
      <c r="AJ9" s="11" t="s">
        <v>45</v>
      </c>
      <c r="AK9" s="12">
        <v>0</v>
      </c>
      <c r="AL9" s="12">
        <v>0</v>
      </c>
      <c r="AM9" s="12">
        <f t="shared" si="15"/>
        <v>0</v>
      </c>
      <c r="AN9" s="11">
        <f t="shared" si="16"/>
        <v>47</v>
      </c>
    </row>
    <row r="10" spans="1:40" x14ac:dyDescent="0.2">
      <c r="A10" t="s">
        <v>62</v>
      </c>
      <c r="B10" t="s">
        <v>63</v>
      </c>
      <c r="C10" s="2">
        <v>2</v>
      </c>
      <c r="D10" s="2">
        <v>2</v>
      </c>
      <c r="E10" s="2">
        <f t="shared" si="0"/>
        <v>4</v>
      </c>
      <c r="F10" s="3">
        <v>3</v>
      </c>
      <c r="G10" s="3">
        <v>3.5</v>
      </c>
      <c r="H10" s="3">
        <f t="shared" si="1"/>
        <v>6.5</v>
      </c>
      <c r="I10" s="4">
        <v>4</v>
      </c>
      <c r="J10" s="4">
        <v>4</v>
      </c>
      <c r="K10" s="4">
        <f t="shared" si="2"/>
        <v>8</v>
      </c>
      <c r="L10" s="5">
        <v>3.5</v>
      </c>
      <c r="M10" s="5">
        <v>3.5</v>
      </c>
      <c r="N10" s="5">
        <f t="shared" si="3"/>
        <v>7</v>
      </c>
      <c r="O10" s="6">
        <v>3</v>
      </c>
      <c r="P10" s="6">
        <v>3</v>
      </c>
      <c r="Q10" s="6">
        <f t="shared" si="4"/>
        <v>6</v>
      </c>
      <c r="R10" s="7">
        <v>3.5</v>
      </c>
      <c r="S10" s="7">
        <v>3.5</v>
      </c>
      <c r="T10" s="7">
        <f t="shared" si="5"/>
        <v>7</v>
      </c>
      <c r="U10" s="8">
        <v>4.5</v>
      </c>
      <c r="V10" s="8">
        <v>4</v>
      </c>
      <c r="W10" s="8">
        <f t="shared" si="6"/>
        <v>8.5</v>
      </c>
      <c r="X10" s="9">
        <v>3</v>
      </c>
      <c r="Y10" s="9">
        <v>3</v>
      </c>
      <c r="Z10" s="9">
        <f t="shared" si="7"/>
        <v>6</v>
      </c>
      <c r="AA10" s="11">
        <f t="shared" si="8"/>
        <v>26.5</v>
      </c>
      <c r="AB10" s="11">
        <f t="shared" si="9"/>
        <v>26.5</v>
      </c>
      <c r="AC10" s="11">
        <f t="shared" si="10"/>
        <v>53</v>
      </c>
      <c r="AD10" s="10">
        <v>3.5</v>
      </c>
      <c r="AE10" s="10">
        <v>4</v>
      </c>
      <c r="AF10" s="10">
        <f t="shared" si="11"/>
        <v>7.5</v>
      </c>
      <c r="AG10" s="11">
        <f t="shared" si="12"/>
        <v>30</v>
      </c>
      <c r="AH10" s="11">
        <f t="shared" si="13"/>
        <v>30.5</v>
      </c>
      <c r="AI10" s="11">
        <f t="shared" si="14"/>
        <v>60.5</v>
      </c>
      <c r="AJ10" s="11" t="s">
        <v>42</v>
      </c>
      <c r="AK10" s="12">
        <v>3</v>
      </c>
      <c r="AL10" s="12">
        <v>3</v>
      </c>
      <c r="AM10" s="12">
        <f t="shared" si="15"/>
        <v>6</v>
      </c>
      <c r="AN10" s="11">
        <f t="shared" si="16"/>
        <v>66.5</v>
      </c>
    </row>
    <row r="11" spans="1:40" x14ac:dyDescent="0.2">
      <c r="A11" t="s">
        <v>82</v>
      </c>
      <c r="B11" t="s">
        <v>83</v>
      </c>
      <c r="C11" s="2">
        <v>3.5</v>
      </c>
      <c r="D11" s="2">
        <v>3.5</v>
      </c>
      <c r="E11" s="2">
        <f t="shared" si="0"/>
        <v>7</v>
      </c>
      <c r="F11" s="3">
        <v>3.5</v>
      </c>
      <c r="G11" s="3">
        <v>3.5</v>
      </c>
      <c r="H11" s="3">
        <f t="shared" si="1"/>
        <v>7</v>
      </c>
      <c r="I11" s="4">
        <v>4</v>
      </c>
      <c r="J11" s="4">
        <v>4</v>
      </c>
      <c r="K11" s="4">
        <f t="shared" si="2"/>
        <v>8</v>
      </c>
      <c r="L11" s="5">
        <v>2</v>
      </c>
      <c r="M11" s="5">
        <v>2</v>
      </c>
      <c r="N11" s="5">
        <f t="shared" si="3"/>
        <v>4</v>
      </c>
      <c r="O11" s="6">
        <v>3</v>
      </c>
      <c r="P11" s="6">
        <v>3</v>
      </c>
      <c r="Q11" s="6">
        <f t="shared" si="4"/>
        <v>6</v>
      </c>
      <c r="R11" s="7">
        <v>3.5</v>
      </c>
      <c r="S11" s="7">
        <v>4</v>
      </c>
      <c r="T11" s="7">
        <f t="shared" si="5"/>
        <v>7.5</v>
      </c>
      <c r="U11" s="8">
        <v>3.5</v>
      </c>
      <c r="V11" s="8">
        <v>3.5</v>
      </c>
      <c r="W11" s="8">
        <f t="shared" si="6"/>
        <v>7</v>
      </c>
      <c r="X11" s="9">
        <v>2</v>
      </c>
      <c r="Y11" s="9">
        <v>2.5</v>
      </c>
      <c r="Z11" s="9">
        <f t="shared" si="7"/>
        <v>4.5</v>
      </c>
      <c r="AA11" s="11">
        <f t="shared" si="8"/>
        <v>25</v>
      </c>
      <c r="AB11" s="11">
        <f t="shared" si="9"/>
        <v>26</v>
      </c>
      <c r="AC11" s="11">
        <f t="shared" si="10"/>
        <v>51</v>
      </c>
      <c r="AD11" s="10">
        <v>3</v>
      </c>
      <c r="AE11" s="10">
        <v>3</v>
      </c>
      <c r="AF11" s="10">
        <f t="shared" si="11"/>
        <v>6</v>
      </c>
      <c r="AG11" s="11">
        <f t="shared" si="12"/>
        <v>28</v>
      </c>
      <c r="AH11" s="11">
        <f t="shared" si="13"/>
        <v>29</v>
      </c>
      <c r="AI11" s="11">
        <f t="shared" si="14"/>
        <v>57</v>
      </c>
      <c r="AJ11" s="11" t="s">
        <v>45</v>
      </c>
      <c r="AK11" s="12">
        <v>0</v>
      </c>
      <c r="AL11" s="12">
        <v>0</v>
      </c>
      <c r="AM11" s="12">
        <f t="shared" si="15"/>
        <v>0</v>
      </c>
      <c r="AN11" s="11">
        <f t="shared" si="16"/>
        <v>57</v>
      </c>
    </row>
    <row r="12" spans="1:40" x14ac:dyDescent="0.2">
      <c r="A12" t="s">
        <v>50</v>
      </c>
      <c r="B12" t="s">
        <v>51</v>
      </c>
      <c r="C12" s="2">
        <v>4.5</v>
      </c>
      <c r="D12" s="2">
        <v>4.5</v>
      </c>
      <c r="E12" s="2">
        <f t="shared" si="0"/>
        <v>9</v>
      </c>
      <c r="F12" s="3">
        <v>3.5</v>
      </c>
      <c r="G12" s="3">
        <v>4</v>
      </c>
      <c r="H12" s="3">
        <f t="shared" si="1"/>
        <v>7.5</v>
      </c>
      <c r="I12" s="4">
        <v>2.5</v>
      </c>
      <c r="J12" s="4">
        <v>3</v>
      </c>
      <c r="K12" s="4">
        <f t="shared" si="2"/>
        <v>5.5</v>
      </c>
      <c r="L12" s="5">
        <v>4.5</v>
      </c>
      <c r="M12" s="5">
        <v>4.5</v>
      </c>
      <c r="N12" s="5">
        <f t="shared" si="3"/>
        <v>9</v>
      </c>
      <c r="O12" s="6">
        <v>3</v>
      </c>
      <c r="P12" s="6">
        <v>2.5</v>
      </c>
      <c r="Q12" s="6">
        <f t="shared" si="4"/>
        <v>5.5</v>
      </c>
      <c r="R12" s="7">
        <v>2.5</v>
      </c>
      <c r="S12" s="7">
        <v>4</v>
      </c>
      <c r="T12" s="7">
        <f t="shared" si="5"/>
        <v>6.5</v>
      </c>
      <c r="U12" s="8">
        <v>2</v>
      </c>
      <c r="V12" s="8">
        <v>3</v>
      </c>
      <c r="W12" s="8">
        <f t="shared" si="6"/>
        <v>5</v>
      </c>
      <c r="X12" s="9">
        <v>3</v>
      </c>
      <c r="Y12" s="9">
        <v>3</v>
      </c>
      <c r="Z12" s="9">
        <f t="shared" si="7"/>
        <v>6</v>
      </c>
      <c r="AA12" s="11">
        <f t="shared" si="8"/>
        <v>25.5</v>
      </c>
      <c r="AB12" s="11">
        <f t="shared" si="9"/>
        <v>28.5</v>
      </c>
      <c r="AC12" s="11">
        <f t="shared" si="10"/>
        <v>54</v>
      </c>
      <c r="AD12" s="10">
        <v>2.5</v>
      </c>
      <c r="AE12" s="10">
        <v>3.5</v>
      </c>
      <c r="AF12" s="10">
        <f t="shared" si="11"/>
        <v>6</v>
      </c>
      <c r="AG12" s="11">
        <f t="shared" si="12"/>
        <v>28</v>
      </c>
      <c r="AH12" s="11">
        <f t="shared" si="13"/>
        <v>32</v>
      </c>
      <c r="AI12" s="11">
        <f t="shared" si="14"/>
        <v>60</v>
      </c>
      <c r="AJ12" s="11" t="s">
        <v>42</v>
      </c>
      <c r="AK12" s="12">
        <v>3</v>
      </c>
      <c r="AL12" s="12">
        <v>2.5</v>
      </c>
      <c r="AM12" s="12">
        <f t="shared" si="15"/>
        <v>5.5</v>
      </c>
      <c r="AN12" s="11">
        <f t="shared" si="16"/>
        <v>65.5</v>
      </c>
    </row>
    <row r="13" spans="1:40" x14ac:dyDescent="0.2">
      <c r="A13" t="s">
        <v>115</v>
      </c>
      <c r="B13" t="s">
        <v>116</v>
      </c>
      <c r="C13" s="2">
        <v>3</v>
      </c>
      <c r="D13" s="2">
        <v>3</v>
      </c>
      <c r="E13" s="2">
        <f t="shared" si="0"/>
        <v>6</v>
      </c>
      <c r="F13" s="3">
        <v>1</v>
      </c>
      <c r="G13" s="3">
        <v>2</v>
      </c>
      <c r="H13" s="3">
        <f t="shared" si="1"/>
        <v>3</v>
      </c>
      <c r="I13" s="4">
        <v>3.5</v>
      </c>
      <c r="J13" s="4">
        <v>3.5</v>
      </c>
      <c r="K13" s="4">
        <f t="shared" si="2"/>
        <v>7</v>
      </c>
      <c r="L13" s="5">
        <v>3</v>
      </c>
      <c r="M13" s="5">
        <v>3</v>
      </c>
      <c r="N13" s="5">
        <f t="shared" si="3"/>
        <v>6</v>
      </c>
      <c r="O13" s="6">
        <v>4</v>
      </c>
      <c r="P13" s="6">
        <v>4</v>
      </c>
      <c r="Q13" s="6">
        <f t="shared" si="4"/>
        <v>8</v>
      </c>
      <c r="R13" s="7">
        <v>3.5</v>
      </c>
      <c r="S13" s="7">
        <v>3.5</v>
      </c>
      <c r="T13" s="7">
        <f t="shared" si="5"/>
        <v>7</v>
      </c>
      <c r="U13" s="8">
        <v>1.5</v>
      </c>
      <c r="V13" s="8">
        <v>2.5</v>
      </c>
      <c r="W13" s="8">
        <f t="shared" si="6"/>
        <v>4</v>
      </c>
      <c r="X13" s="9">
        <v>3.5</v>
      </c>
      <c r="Y13" s="9">
        <v>3.5</v>
      </c>
      <c r="Z13" s="9">
        <f t="shared" si="7"/>
        <v>7</v>
      </c>
      <c r="AA13" s="11">
        <f t="shared" si="8"/>
        <v>23</v>
      </c>
      <c r="AB13" s="11">
        <f t="shared" si="9"/>
        <v>25</v>
      </c>
      <c r="AC13" s="11">
        <f t="shared" si="10"/>
        <v>48</v>
      </c>
      <c r="AD13" s="10">
        <v>2</v>
      </c>
      <c r="AE13" s="10">
        <v>2</v>
      </c>
      <c r="AF13" s="10">
        <f t="shared" si="11"/>
        <v>4</v>
      </c>
      <c r="AG13" s="11">
        <f t="shared" si="12"/>
        <v>25</v>
      </c>
      <c r="AH13" s="11">
        <f t="shared" si="13"/>
        <v>27</v>
      </c>
      <c r="AI13" s="11">
        <f t="shared" si="14"/>
        <v>52</v>
      </c>
      <c r="AJ13" s="11" t="s">
        <v>42</v>
      </c>
      <c r="AK13" s="12">
        <v>0</v>
      </c>
      <c r="AL13" s="12">
        <v>0</v>
      </c>
      <c r="AM13" s="12">
        <f t="shared" si="15"/>
        <v>0</v>
      </c>
      <c r="AN13" s="11">
        <f t="shared" si="16"/>
        <v>52</v>
      </c>
    </row>
    <row r="14" spans="1:40" x14ac:dyDescent="0.2">
      <c r="A14" t="s">
        <v>40</v>
      </c>
      <c r="B14" t="s">
        <v>41</v>
      </c>
      <c r="C14" s="2">
        <v>3.5</v>
      </c>
      <c r="D14" s="2">
        <v>3</v>
      </c>
      <c r="E14" s="2">
        <f t="shared" si="0"/>
        <v>6.5</v>
      </c>
      <c r="F14" s="3">
        <v>3.5</v>
      </c>
      <c r="G14" s="3">
        <v>3</v>
      </c>
      <c r="H14" s="3">
        <f t="shared" si="1"/>
        <v>6.5</v>
      </c>
      <c r="I14" s="4">
        <v>4.5</v>
      </c>
      <c r="J14" s="4">
        <v>4</v>
      </c>
      <c r="K14" s="4">
        <f t="shared" si="2"/>
        <v>8.5</v>
      </c>
      <c r="L14" s="5">
        <v>2</v>
      </c>
      <c r="M14" s="5">
        <v>2</v>
      </c>
      <c r="N14" s="5">
        <f t="shared" si="3"/>
        <v>4</v>
      </c>
      <c r="O14" s="6">
        <v>4</v>
      </c>
      <c r="P14" s="6">
        <v>4</v>
      </c>
      <c r="Q14" s="6">
        <f t="shared" si="4"/>
        <v>8</v>
      </c>
      <c r="R14" s="7">
        <v>4</v>
      </c>
      <c r="S14" s="7">
        <v>4</v>
      </c>
      <c r="T14" s="7">
        <f t="shared" si="5"/>
        <v>8</v>
      </c>
      <c r="U14" s="8">
        <v>5</v>
      </c>
      <c r="V14" s="8">
        <v>5</v>
      </c>
      <c r="W14" s="8">
        <f t="shared" si="6"/>
        <v>10</v>
      </c>
      <c r="X14" s="9">
        <v>2.5</v>
      </c>
      <c r="Y14" s="9">
        <v>3</v>
      </c>
      <c r="Z14" s="9">
        <f t="shared" si="7"/>
        <v>5.5</v>
      </c>
      <c r="AA14" s="11">
        <f t="shared" si="8"/>
        <v>29</v>
      </c>
      <c r="AB14" s="11">
        <f t="shared" si="9"/>
        <v>28</v>
      </c>
      <c r="AC14" s="11">
        <f t="shared" si="10"/>
        <v>57</v>
      </c>
      <c r="AD14" s="10">
        <v>4</v>
      </c>
      <c r="AE14" s="10">
        <v>4</v>
      </c>
      <c r="AF14" s="10">
        <f t="shared" si="11"/>
        <v>8</v>
      </c>
      <c r="AG14" s="11">
        <f t="shared" si="12"/>
        <v>33</v>
      </c>
      <c r="AH14" s="11">
        <f t="shared" si="13"/>
        <v>32</v>
      </c>
      <c r="AI14" s="11">
        <f t="shared" si="14"/>
        <v>65</v>
      </c>
      <c r="AJ14" s="11" t="s">
        <v>42</v>
      </c>
      <c r="AK14" s="12">
        <v>1</v>
      </c>
      <c r="AL14" s="12">
        <v>2</v>
      </c>
      <c r="AM14" s="12">
        <f t="shared" si="15"/>
        <v>3</v>
      </c>
      <c r="AN14" s="11">
        <f t="shared" si="16"/>
        <v>68</v>
      </c>
    </row>
    <row r="15" spans="1:40" x14ac:dyDescent="0.2">
      <c r="A15" t="s">
        <v>157</v>
      </c>
      <c r="B15" t="s">
        <v>166</v>
      </c>
      <c r="C15" s="2">
        <v>4</v>
      </c>
      <c r="D15" s="2">
        <v>3.5</v>
      </c>
      <c r="E15" s="2">
        <f t="shared" si="0"/>
        <v>7.5</v>
      </c>
      <c r="F15" s="3">
        <v>3.5</v>
      </c>
      <c r="G15" s="3">
        <v>4</v>
      </c>
      <c r="H15" s="3">
        <f t="shared" si="1"/>
        <v>7.5</v>
      </c>
      <c r="I15" s="4">
        <v>2.5</v>
      </c>
      <c r="J15" s="4">
        <v>3</v>
      </c>
      <c r="K15" s="4">
        <f t="shared" si="2"/>
        <v>5.5</v>
      </c>
      <c r="L15" s="5">
        <v>3</v>
      </c>
      <c r="M15" s="5">
        <v>3</v>
      </c>
      <c r="N15" s="5">
        <f t="shared" si="3"/>
        <v>6</v>
      </c>
      <c r="O15" s="6">
        <v>3</v>
      </c>
      <c r="P15" s="6">
        <v>3</v>
      </c>
      <c r="Q15" s="6">
        <f t="shared" si="4"/>
        <v>6</v>
      </c>
      <c r="R15" s="7">
        <v>3.5</v>
      </c>
      <c r="S15" s="7">
        <v>3.5</v>
      </c>
      <c r="T15" s="7">
        <f t="shared" si="5"/>
        <v>7</v>
      </c>
      <c r="U15" s="8">
        <v>3</v>
      </c>
      <c r="V15" s="8">
        <v>3</v>
      </c>
      <c r="W15" s="8">
        <f t="shared" si="6"/>
        <v>6</v>
      </c>
      <c r="X15" s="9">
        <v>3.5</v>
      </c>
      <c r="Y15" s="9">
        <v>3.5</v>
      </c>
      <c r="Z15" s="9">
        <f t="shared" si="7"/>
        <v>7</v>
      </c>
      <c r="AA15" s="11">
        <f t="shared" si="8"/>
        <v>26</v>
      </c>
      <c r="AB15" s="11">
        <f t="shared" si="9"/>
        <v>26.5</v>
      </c>
      <c r="AC15" s="11">
        <f t="shared" si="10"/>
        <v>52.5</v>
      </c>
      <c r="AD15" s="10">
        <v>3.5</v>
      </c>
      <c r="AE15" s="10">
        <v>3.5</v>
      </c>
      <c r="AF15" s="10">
        <f t="shared" si="11"/>
        <v>7</v>
      </c>
      <c r="AG15" s="11">
        <f t="shared" si="12"/>
        <v>29.5</v>
      </c>
      <c r="AH15" s="11">
        <f t="shared" si="13"/>
        <v>30</v>
      </c>
      <c r="AI15" s="11">
        <f t="shared" si="14"/>
        <v>59.5</v>
      </c>
      <c r="AJ15" s="11" t="s">
        <v>42</v>
      </c>
      <c r="AK15" s="12">
        <v>0</v>
      </c>
      <c r="AL15" s="12">
        <v>0</v>
      </c>
      <c r="AM15" s="12">
        <f t="shared" si="15"/>
        <v>0</v>
      </c>
      <c r="AN15" s="11">
        <f t="shared" si="16"/>
        <v>59.5</v>
      </c>
    </row>
    <row r="16" spans="1:40" x14ac:dyDescent="0.2">
      <c r="A16" t="s">
        <v>176</v>
      </c>
      <c r="B16" t="s">
        <v>188</v>
      </c>
      <c r="C16" s="2">
        <v>3</v>
      </c>
      <c r="D16" s="2">
        <v>3</v>
      </c>
      <c r="E16" s="2">
        <f t="shared" si="0"/>
        <v>6</v>
      </c>
      <c r="F16" s="3">
        <v>2.5</v>
      </c>
      <c r="G16" s="3">
        <v>1.5</v>
      </c>
      <c r="H16" s="3">
        <f t="shared" si="1"/>
        <v>4</v>
      </c>
      <c r="I16" s="4">
        <v>2</v>
      </c>
      <c r="J16" s="4">
        <v>2</v>
      </c>
      <c r="K16" s="4">
        <f t="shared" si="2"/>
        <v>4</v>
      </c>
      <c r="L16" s="5">
        <v>3.5</v>
      </c>
      <c r="M16" s="5">
        <v>4</v>
      </c>
      <c r="N16" s="5">
        <f t="shared" si="3"/>
        <v>7.5</v>
      </c>
      <c r="O16" s="6">
        <v>4</v>
      </c>
      <c r="P16" s="6">
        <v>4.5</v>
      </c>
      <c r="Q16" s="6">
        <f t="shared" si="4"/>
        <v>8.5</v>
      </c>
      <c r="R16" s="7">
        <v>2</v>
      </c>
      <c r="S16" s="7">
        <v>2.5</v>
      </c>
      <c r="T16" s="7">
        <f t="shared" si="5"/>
        <v>4.5</v>
      </c>
      <c r="U16" s="8">
        <v>2.5</v>
      </c>
      <c r="V16" s="8">
        <v>3</v>
      </c>
      <c r="W16" s="8">
        <f t="shared" si="6"/>
        <v>5.5</v>
      </c>
      <c r="X16" s="9">
        <v>3</v>
      </c>
      <c r="Y16" s="9">
        <v>3</v>
      </c>
      <c r="Z16" s="9">
        <f t="shared" si="7"/>
        <v>6</v>
      </c>
      <c r="AA16" s="11">
        <f t="shared" si="8"/>
        <v>22.5</v>
      </c>
      <c r="AB16" s="11">
        <f t="shared" si="9"/>
        <v>23.5</v>
      </c>
      <c r="AC16" s="11">
        <f t="shared" si="10"/>
        <v>46</v>
      </c>
      <c r="AD16" s="10">
        <v>1.5</v>
      </c>
      <c r="AE16" s="10">
        <v>1.5</v>
      </c>
      <c r="AF16" s="10">
        <f t="shared" si="11"/>
        <v>3</v>
      </c>
      <c r="AG16" s="11">
        <f t="shared" si="12"/>
        <v>24</v>
      </c>
      <c r="AH16" s="11">
        <f t="shared" si="13"/>
        <v>25</v>
      </c>
      <c r="AI16" s="11">
        <f t="shared" si="14"/>
        <v>49</v>
      </c>
      <c r="AJ16" s="11" t="s">
        <v>42</v>
      </c>
      <c r="AK16" s="12">
        <v>0</v>
      </c>
      <c r="AL16" s="12">
        <v>0</v>
      </c>
      <c r="AM16" s="12">
        <f t="shared" si="15"/>
        <v>0</v>
      </c>
      <c r="AN16" s="11">
        <f t="shared" si="16"/>
        <v>49</v>
      </c>
    </row>
    <row r="17" spans="1:40" x14ac:dyDescent="0.2">
      <c r="A17" t="s">
        <v>100</v>
      </c>
      <c r="B17" t="s">
        <v>101</v>
      </c>
      <c r="C17" s="2">
        <v>2.5</v>
      </c>
      <c r="D17" s="2">
        <v>2.5</v>
      </c>
      <c r="E17" s="2">
        <f t="shared" si="0"/>
        <v>5</v>
      </c>
      <c r="F17" s="3">
        <v>3</v>
      </c>
      <c r="G17" s="3">
        <v>3</v>
      </c>
      <c r="H17" s="3">
        <f t="shared" si="1"/>
        <v>6</v>
      </c>
      <c r="I17" s="4">
        <v>4</v>
      </c>
      <c r="J17" s="4">
        <v>3.5</v>
      </c>
      <c r="K17" s="4">
        <f t="shared" si="2"/>
        <v>7.5</v>
      </c>
      <c r="L17" s="5">
        <v>2.5</v>
      </c>
      <c r="M17" s="5">
        <v>2.5</v>
      </c>
      <c r="N17" s="5">
        <f t="shared" si="3"/>
        <v>5</v>
      </c>
      <c r="O17" s="6">
        <v>3</v>
      </c>
      <c r="P17" s="6">
        <v>3.5</v>
      </c>
      <c r="Q17" s="6">
        <f t="shared" si="4"/>
        <v>6.5</v>
      </c>
      <c r="R17" s="7">
        <v>4.5</v>
      </c>
      <c r="S17" s="7">
        <v>4</v>
      </c>
      <c r="T17" s="7">
        <f t="shared" si="5"/>
        <v>8.5</v>
      </c>
      <c r="U17" s="8">
        <v>4</v>
      </c>
      <c r="V17" s="8">
        <v>3.5</v>
      </c>
      <c r="W17" s="8">
        <f t="shared" si="6"/>
        <v>7.5</v>
      </c>
      <c r="X17" s="9">
        <v>3</v>
      </c>
      <c r="Y17" s="9">
        <v>3</v>
      </c>
      <c r="Z17" s="9">
        <f t="shared" si="7"/>
        <v>6</v>
      </c>
      <c r="AA17" s="11">
        <f t="shared" si="8"/>
        <v>26.5</v>
      </c>
      <c r="AB17" s="11">
        <f t="shared" si="9"/>
        <v>25.5</v>
      </c>
      <c r="AC17" s="11">
        <f t="shared" si="10"/>
        <v>52</v>
      </c>
      <c r="AD17" s="10">
        <v>1.5</v>
      </c>
      <c r="AE17" s="10">
        <v>1.5</v>
      </c>
      <c r="AF17" s="10">
        <f t="shared" si="11"/>
        <v>3</v>
      </c>
      <c r="AG17" s="11">
        <f t="shared" si="12"/>
        <v>28</v>
      </c>
      <c r="AH17" s="11">
        <f t="shared" si="13"/>
        <v>27</v>
      </c>
      <c r="AI17" s="11">
        <f t="shared" si="14"/>
        <v>55</v>
      </c>
      <c r="AJ17" s="11" t="s">
        <v>45</v>
      </c>
      <c r="AK17" s="12">
        <v>0</v>
      </c>
      <c r="AL17" s="12">
        <v>0</v>
      </c>
      <c r="AM17" s="12">
        <f t="shared" si="15"/>
        <v>0</v>
      </c>
      <c r="AN17" s="11">
        <f t="shared" si="16"/>
        <v>55</v>
      </c>
    </row>
    <row r="18" spans="1:40" x14ac:dyDescent="0.2">
      <c r="A18" t="s">
        <v>52</v>
      </c>
      <c r="B18" t="s">
        <v>53</v>
      </c>
      <c r="C18" s="2">
        <v>3</v>
      </c>
      <c r="D18" s="2">
        <v>3</v>
      </c>
      <c r="E18" s="2">
        <f t="shared" si="0"/>
        <v>6</v>
      </c>
      <c r="F18" s="3">
        <v>3.5</v>
      </c>
      <c r="G18" s="3">
        <v>3.5</v>
      </c>
      <c r="H18" s="3">
        <f t="shared" si="1"/>
        <v>7</v>
      </c>
      <c r="I18" s="4">
        <v>4</v>
      </c>
      <c r="J18" s="4">
        <v>3.5</v>
      </c>
      <c r="K18" s="4">
        <f t="shared" si="2"/>
        <v>7.5</v>
      </c>
      <c r="L18" s="5">
        <v>2.5</v>
      </c>
      <c r="M18" s="5">
        <v>2.5</v>
      </c>
      <c r="N18" s="5">
        <f t="shared" si="3"/>
        <v>5</v>
      </c>
      <c r="O18" s="6">
        <v>3.5</v>
      </c>
      <c r="P18" s="6">
        <v>3</v>
      </c>
      <c r="Q18" s="6">
        <f t="shared" si="4"/>
        <v>6.5</v>
      </c>
      <c r="R18" s="7">
        <v>3</v>
      </c>
      <c r="S18" s="7">
        <v>3</v>
      </c>
      <c r="T18" s="7">
        <f t="shared" si="5"/>
        <v>6</v>
      </c>
      <c r="U18" s="8">
        <v>4</v>
      </c>
      <c r="V18" s="8">
        <v>4</v>
      </c>
      <c r="W18" s="8">
        <f t="shared" si="6"/>
        <v>8</v>
      </c>
      <c r="X18" s="9">
        <v>4</v>
      </c>
      <c r="Y18" s="9">
        <v>4</v>
      </c>
      <c r="Z18" s="9">
        <f t="shared" si="7"/>
        <v>8</v>
      </c>
      <c r="AA18" s="11">
        <f t="shared" si="8"/>
        <v>27.5</v>
      </c>
      <c r="AB18" s="11">
        <f t="shared" si="9"/>
        <v>26.5</v>
      </c>
      <c r="AC18" s="11">
        <f t="shared" si="10"/>
        <v>54</v>
      </c>
      <c r="AD18" s="10">
        <v>3.5</v>
      </c>
      <c r="AE18" s="10">
        <v>3.5</v>
      </c>
      <c r="AF18" s="10">
        <f t="shared" si="11"/>
        <v>7</v>
      </c>
      <c r="AG18" s="11">
        <f t="shared" si="12"/>
        <v>31</v>
      </c>
      <c r="AH18" s="11">
        <f t="shared" si="13"/>
        <v>30</v>
      </c>
      <c r="AI18" s="11">
        <f t="shared" si="14"/>
        <v>61</v>
      </c>
      <c r="AJ18" s="11" t="s">
        <v>45</v>
      </c>
      <c r="AK18" s="12">
        <v>0</v>
      </c>
      <c r="AL18" s="12">
        <v>0</v>
      </c>
      <c r="AM18" s="12">
        <f t="shared" si="15"/>
        <v>0</v>
      </c>
      <c r="AN18" s="11">
        <f t="shared" si="16"/>
        <v>61</v>
      </c>
    </row>
    <row r="19" spans="1:40" x14ac:dyDescent="0.2">
      <c r="A19" t="s">
        <v>84</v>
      </c>
      <c r="B19" t="s">
        <v>85</v>
      </c>
      <c r="C19" s="2">
        <v>3</v>
      </c>
      <c r="D19" s="2">
        <v>2.5</v>
      </c>
      <c r="E19" s="2">
        <f t="shared" si="0"/>
        <v>5.5</v>
      </c>
      <c r="F19" s="3">
        <v>2.5</v>
      </c>
      <c r="G19" s="3">
        <v>3</v>
      </c>
      <c r="H19" s="3">
        <f t="shared" si="1"/>
        <v>5.5</v>
      </c>
      <c r="I19" s="4">
        <v>4</v>
      </c>
      <c r="J19" s="4">
        <v>4</v>
      </c>
      <c r="K19" s="4">
        <f t="shared" si="2"/>
        <v>8</v>
      </c>
      <c r="L19" s="5">
        <v>3</v>
      </c>
      <c r="M19" s="5">
        <v>3.5</v>
      </c>
      <c r="N19" s="5">
        <f t="shared" si="3"/>
        <v>6.5</v>
      </c>
      <c r="O19" s="6">
        <v>4</v>
      </c>
      <c r="P19" s="6">
        <v>3.5</v>
      </c>
      <c r="Q19" s="6">
        <f t="shared" si="4"/>
        <v>7.5</v>
      </c>
      <c r="R19" s="7">
        <v>3</v>
      </c>
      <c r="S19" s="7">
        <v>3.5</v>
      </c>
      <c r="T19" s="7">
        <f t="shared" si="5"/>
        <v>6.5</v>
      </c>
      <c r="U19" s="8">
        <v>2</v>
      </c>
      <c r="V19" s="8">
        <v>3</v>
      </c>
      <c r="W19" s="8">
        <f t="shared" si="6"/>
        <v>5</v>
      </c>
      <c r="X19" s="9">
        <v>3.5</v>
      </c>
      <c r="Y19" s="9">
        <v>3</v>
      </c>
      <c r="Z19" s="9">
        <f t="shared" si="7"/>
        <v>6.5</v>
      </c>
      <c r="AA19" s="11">
        <f t="shared" si="8"/>
        <v>25</v>
      </c>
      <c r="AB19" s="11">
        <f t="shared" si="9"/>
        <v>26</v>
      </c>
      <c r="AC19" s="11">
        <f t="shared" si="10"/>
        <v>51</v>
      </c>
      <c r="AD19" s="10">
        <v>3</v>
      </c>
      <c r="AE19" s="10">
        <v>3</v>
      </c>
      <c r="AF19" s="10">
        <f t="shared" si="11"/>
        <v>6</v>
      </c>
      <c r="AG19" s="11">
        <f t="shared" si="12"/>
        <v>28</v>
      </c>
      <c r="AH19" s="11">
        <f t="shared" si="13"/>
        <v>29</v>
      </c>
      <c r="AI19" s="11">
        <f t="shared" si="14"/>
        <v>57</v>
      </c>
      <c r="AJ19" s="11" t="s">
        <v>45</v>
      </c>
      <c r="AK19" s="12">
        <v>0</v>
      </c>
      <c r="AL19" s="12">
        <v>0</v>
      </c>
      <c r="AM19" s="12">
        <f t="shared" si="15"/>
        <v>0</v>
      </c>
      <c r="AN19" s="11">
        <f t="shared" si="16"/>
        <v>57</v>
      </c>
    </row>
    <row r="20" spans="1:40" x14ac:dyDescent="0.2">
      <c r="A20" t="s">
        <v>170</v>
      </c>
      <c r="B20" t="s">
        <v>187</v>
      </c>
      <c r="C20" s="2">
        <v>1.5</v>
      </c>
      <c r="D20" s="2">
        <v>1</v>
      </c>
      <c r="E20" s="2">
        <f t="shared" si="0"/>
        <v>2.5</v>
      </c>
      <c r="F20" s="3">
        <v>3</v>
      </c>
      <c r="G20" s="3">
        <v>2.5</v>
      </c>
      <c r="H20" s="3">
        <f t="shared" si="1"/>
        <v>5.5</v>
      </c>
      <c r="I20" s="4">
        <v>2.5</v>
      </c>
      <c r="J20" s="4">
        <v>2</v>
      </c>
      <c r="K20" s="4">
        <f t="shared" si="2"/>
        <v>4.5</v>
      </c>
      <c r="L20" s="5">
        <v>2</v>
      </c>
      <c r="M20" s="5">
        <v>2.5</v>
      </c>
      <c r="N20" s="5">
        <f t="shared" si="3"/>
        <v>4.5</v>
      </c>
      <c r="O20" s="6">
        <v>3.5</v>
      </c>
      <c r="P20" s="6">
        <v>3.5</v>
      </c>
      <c r="Q20" s="6">
        <f t="shared" si="4"/>
        <v>7</v>
      </c>
      <c r="R20" s="7">
        <v>4</v>
      </c>
      <c r="S20" s="7">
        <v>3.5</v>
      </c>
      <c r="T20" s="7">
        <f t="shared" si="5"/>
        <v>7.5</v>
      </c>
      <c r="U20" s="8">
        <v>3</v>
      </c>
      <c r="V20" s="8">
        <v>3</v>
      </c>
      <c r="W20" s="8">
        <f t="shared" si="6"/>
        <v>6</v>
      </c>
      <c r="X20" s="9">
        <v>3.5</v>
      </c>
      <c r="Y20" s="9">
        <v>3.5</v>
      </c>
      <c r="Z20" s="9">
        <f t="shared" si="7"/>
        <v>7</v>
      </c>
      <c r="AA20" s="11">
        <f t="shared" si="8"/>
        <v>23</v>
      </c>
      <c r="AB20" s="11">
        <f t="shared" si="9"/>
        <v>21.5</v>
      </c>
      <c r="AC20" s="11">
        <f t="shared" si="10"/>
        <v>44.5</v>
      </c>
      <c r="AD20" s="10">
        <v>2.5</v>
      </c>
      <c r="AE20" s="10">
        <v>2.5</v>
      </c>
      <c r="AF20" s="10">
        <f t="shared" si="11"/>
        <v>5</v>
      </c>
      <c r="AG20" s="11">
        <f t="shared" si="12"/>
        <v>25.5</v>
      </c>
      <c r="AH20" s="11">
        <f t="shared" si="13"/>
        <v>24</v>
      </c>
      <c r="AI20" s="11">
        <f t="shared" si="14"/>
        <v>49.5</v>
      </c>
      <c r="AJ20" s="11" t="s">
        <v>45</v>
      </c>
      <c r="AK20" s="12">
        <v>0</v>
      </c>
      <c r="AL20" s="12">
        <v>0</v>
      </c>
      <c r="AM20" s="12">
        <f t="shared" si="15"/>
        <v>0</v>
      </c>
      <c r="AN20" s="11">
        <f t="shared" si="16"/>
        <v>49.5</v>
      </c>
    </row>
    <row r="21" spans="1:40" x14ac:dyDescent="0.2">
      <c r="A21" t="s">
        <v>54</v>
      </c>
      <c r="B21" t="s">
        <v>55</v>
      </c>
      <c r="C21" s="2">
        <v>3</v>
      </c>
      <c r="D21" s="2">
        <v>3</v>
      </c>
      <c r="E21" s="2">
        <f t="shared" si="0"/>
        <v>6</v>
      </c>
      <c r="F21" s="3">
        <v>3</v>
      </c>
      <c r="G21" s="3">
        <v>3</v>
      </c>
      <c r="H21" s="3">
        <f t="shared" si="1"/>
        <v>6</v>
      </c>
      <c r="I21" s="4">
        <v>4.5</v>
      </c>
      <c r="J21" s="4">
        <v>4</v>
      </c>
      <c r="K21" s="4">
        <f t="shared" si="2"/>
        <v>8.5</v>
      </c>
      <c r="L21" s="5">
        <v>3</v>
      </c>
      <c r="M21" s="5">
        <v>3</v>
      </c>
      <c r="N21" s="5">
        <f t="shared" si="3"/>
        <v>6</v>
      </c>
      <c r="O21" s="6">
        <v>3.5</v>
      </c>
      <c r="P21" s="6">
        <v>3.5</v>
      </c>
      <c r="Q21" s="6">
        <f t="shared" si="4"/>
        <v>7</v>
      </c>
      <c r="R21" s="7">
        <v>4</v>
      </c>
      <c r="S21" s="7">
        <v>3.5</v>
      </c>
      <c r="T21" s="7">
        <f t="shared" si="5"/>
        <v>7.5</v>
      </c>
      <c r="U21" s="8">
        <v>4</v>
      </c>
      <c r="V21" s="8">
        <v>4</v>
      </c>
      <c r="W21" s="8">
        <f t="shared" si="6"/>
        <v>8</v>
      </c>
      <c r="X21" s="9">
        <v>3.5</v>
      </c>
      <c r="Y21" s="9">
        <v>4.5</v>
      </c>
      <c r="Z21" s="9">
        <f t="shared" si="7"/>
        <v>8</v>
      </c>
      <c r="AA21" s="11">
        <f t="shared" si="8"/>
        <v>28.5</v>
      </c>
      <c r="AB21" s="11">
        <f t="shared" si="9"/>
        <v>28.5</v>
      </c>
      <c r="AC21" s="11">
        <f t="shared" si="10"/>
        <v>57</v>
      </c>
      <c r="AD21" s="10">
        <v>2</v>
      </c>
      <c r="AE21" s="10">
        <v>2</v>
      </c>
      <c r="AF21" s="10">
        <f t="shared" si="11"/>
        <v>4</v>
      </c>
      <c r="AG21" s="11">
        <f t="shared" si="12"/>
        <v>30.5</v>
      </c>
      <c r="AH21" s="11">
        <f t="shared" si="13"/>
        <v>30.5</v>
      </c>
      <c r="AI21" s="11">
        <f t="shared" si="14"/>
        <v>61</v>
      </c>
      <c r="AJ21" s="11" t="s">
        <v>42</v>
      </c>
      <c r="AK21" s="12">
        <v>4</v>
      </c>
      <c r="AL21" s="12">
        <v>3</v>
      </c>
      <c r="AM21" s="12">
        <f t="shared" si="15"/>
        <v>7</v>
      </c>
      <c r="AN21" s="11">
        <f t="shared" si="16"/>
        <v>68</v>
      </c>
    </row>
    <row r="22" spans="1:40" x14ac:dyDescent="0.2">
      <c r="A22" t="s">
        <v>68</v>
      </c>
      <c r="B22" t="s">
        <v>69</v>
      </c>
      <c r="C22" s="2">
        <v>2</v>
      </c>
      <c r="D22" s="2">
        <v>2.5</v>
      </c>
      <c r="E22" s="2">
        <f t="shared" si="0"/>
        <v>4.5</v>
      </c>
      <c r="F22" s="3">
        <v>2</v>
      </c>
      <c r="G22" s="3">
        <v>2.5</v>
      </c>
      <c r="H22" s="3">
        <f t="shared" si="1"/>
        <v>4.5</v>
      </c>
      <c r="I22" s="4">
        <v>4.5</v>
      </c>
      <c r="J22" s="4">
        <v>4.5</v>
      </c>
      <c r="K22" s="4">
        <f t="shared" si="2"/>
        <v>9</v>
      </c>
      <c r="L22" s="5">
        <v>3.5</v>
      </c>
      <c r="M22" s="5">
        <v>3</v>
      </c>
      <c r="N22" s="5">
        <f t="shared" si="3"/>
        <v>6.5</v>
      </c>
      <c r="O22" s="6">
        <v>3.5</v>
      </c>
      <c r="P22" s="6">
        <v>3.5</v>
      </c>
      <c r="Q22" s="6">
        <f t="shared" si="4"/>
        <v>7</v>
      </c>
      <c r="R22" s="7">
        <v>4.5</v>
      </c>
      <c r="S22" s="7">
        <v>3.5</v>
      </c>
      <c r="T22" s="7">
        <f t="shared" si="5"/>
        <v>8</v>
      </c>
      <c r="U22" s="8">
        <v>4.5</v>
      </c>
      <c r="V22" s="8">
        <v>4.5</v>
      </c>
      <c r="W22" s="8">
        <f t="shared" si="6"/>
        <v>9</v>
      </c>
      <c r="X22" s="9">
        <v>3.5</v>
      </c>
      <c r="Y22" s="9">
        <v>4</v>
      </c>
      <c r="Z22" s="9">
        <f t="shared" si="7"/>
        <v>7.5</v>
      </c>
      <c r="AA22" s="11">
        <f t="shared" si="8"/>
        <v>28</v>
      </c>
      <c r="AB22" s="11">
        <f t="shared" si="9"/>
        <v>28</v>
      </c>
      <c r="AC22" s="11">
        <f t="shared" si="10"/>
        <v>56</v>
      </c>
      <c r="AD22" s="10">
        <v>2</v>
      </c>
      <c r="AE22" s="10">
        <v>1</v>
      </c>
      <c r="AF22" s="10">
        <f t="shared" si="11"/>
        <v>3</v>
      </c>
      <c r="AG22" s="11">
        <f t="shared" si="12"/>
        <v>30</v>
      </c>
      <c r="AH22" s="11">
        <f t="shared" si="13"/>
        <v>29</v>
      </c>
      <c r="AI22" s="11">
        <f t="shared" si="14"/>
        <v>59</v>
      </c>
      <c r="AJ22" s="11" t="s">
        <v>45</v>
      </c>
      <c r="AK22" s="12">
        <v>0</v>
      </c>
      <c r="AL22" s="12">
        <v>0</v>
      </c>
      <c r="AM22" s="12">
        <f t="shared" si="15"/>
        <v>0</v>
      </c>
      <c r="AN22" s="11">
        <f t="shared" si="16"/>
        <v>59</v>
      </c>
    </row>
    <row r="23" spans="1:40" x14ac:dyDescent="0.2">
      <c r="A23" t="s">
        <v>155</v>
      </c>
      <c r="B23" t="s">
        <v>165</v>
      </c>
      <c r="C23" s="2">
        <v>3</v>
      </c>
      <c r="D23" s="2">
        <v>3</v>
      </c>
      <c r="E23" s="2">
        <f t="shared" si="0"/>
        <v>6</v>
      </c>
      <c r="F23" s="3">
        <v>4</v>
      </c>
      <c r="G23" s="3">
        <v>3</v>
      </c>
      <c r="H23" s="3">
        <f t="shared" si="1"/>
        <v>7</v>
      </c>
      <c r="I23" s="4">
        <v>3.5</v>
      </c>
      <c r="J23" s="4">
        <v>3.5</v>
      </c>
      <c r="K23" s="4">
        <f t="shared" si="2"/>
        <v>7</v>
      </c>
      <c r="L23" s="5">
        <v>3</v>
      </c>
      <c r="M23" s="5">
        <v>3</v>
      </c>
      <c r="N23" s="5">
        <f t="shared" si="3"/>
        <v>6</v>
      </c>
      <c r="O23" s="6">
        <v>3</v>
      </c>
      <c r="P23" s="6">
        <v>4</v>
      </c>
      <c r="Q23" s="6">
        <f t="shared" si="4"/>
        <v>7</v>
      </c>
      <c r="R23" s="7">
        <v>4</v>
      </c>
      <c r="S23" s="7">
        <v>3.5</v>
      </c>
      <c r="T23" s="7">
        <f t="shared" si="5"/>
        <v>7.5</v>
      </c>
      <c r="U23" s="8">
        <v>3</v>
      </c>
      <c r="V23" s="8">
        <v>3</v>
      </c>
      <c r="W23" s="8">
        <f t="shared" si="6"/>
        <v>6</v>
      </c>
      <c r="X23" s="9">
        <v>3.5</v>
      </c>
      <c r="Y23" s="9">
        <v>3.5</v>
      </c>
      <c r="Z23" s="9">
        <f t="shared" si="7"/>
        <v>7</v>
      </c>
      <c r="AA23" s="11">
        <f t="shared" si="8"/>
        <v>27</v>
      </c>
      <c r="AB23" s="11">
        <f t="shared" si="9"/>
        <v>26.5</v>
      </c>
      <c r="AC23" s="11">
        <f t="shared" si="10"/>
        <v>53.5</v>
      </c>
      <c r="AD23" s="10">
        <v>2</v>
      </c>
      <c r="AE23" s="10">
        <v>2</v>
      </c>
      <c r="AF23" s="10">
        <f t="shared" si="11"/>
        <v>4</v>
      </c>
      <c r="AG23" s="11">
        <f t="shared" si="12"/>
        <v>29</v>
      </c>
      <c r="AH23" s="11">
        <f t="shared" si="13"/>
        <v>28.5</v>
      </c>
      <c r="AI23" s="11">
        <f t="shared" si="14"/>
        <v>57.5</v>
      </c>
      <c r="AJ23" s="11" t="s">
        <v>45</v>
      </c>
      <c r="AK23" s="12">
        <v>0</v>
      </c>
      <c r="AL23" s="12">
        <v>0</v>
      </c>
      <c r="AM23" s="12">
        <f t="shared" si="15"/>
        <v>0</v>
      </c>
      <c r="AN23" s="11">
        <f t="shared" si="16"/>
        <v>57.5</v>
      </c>
    </row>
    <row r="24" spans="1:40" x14ac:dyDescent="0.2">
      <c r="A24" t="s">
        <v>78</v>
      </c>
      <c r="B24" t="s">
        <v>79</v>
      </c>
      <c r="C24" s="2">
        <v>3</v>
      </c>
      <c r="D24" s="2">
        <v>3</v>
      </c>
      <c r="E24" s="2">
        <f t="shared" si="0"/>
        <v>6</v>
      </c>
      <c r="F24" s="3">
        <v>3</v>
      </c>
      <c r="G24" s="3">
        <v>2.5</v>
      </c>
      <c r="H24" s="3">
        <f t="shared" si="1"/>
        <v>5.5</v>
      </c>
      <c r="I24" s="4">
        <v>4</v>
      </c>
      <c r="J24" s="4">
        <v>3.5</v>
      </c>
      <c r="K24" s="4">
        <f t="shared" si="2"/>
        <v>7.5</v>
      </c>
      <c r="L24" s="5">
        <v>2</v>
      </c>
      <c r="M24" s="5">
        <v>3</v>
      </c>
      <c r="N24" s="5">
        <f t="shared" si="3"/>
        <v>5</v>
      </c>
      <c r="O24" s="6">
        <v>3.5</v>
      </c>
      <c r="P24" s="6">
        <v>3.5</v>
      </c>
      <c r="Q24" s="6">
        <f t="shared" si="4"/>
        <v>7</v>
      </c>
      <c r="R24" s="7">
        <v>3.5</v>
      </c>
      <c r="S24" s="7">
        <v>3</v>
      </c>
      <c r="T24" s="7">
        <f t="shared" si="5"/>
        <v>6.5</v>
      </c>
      <c r="U24" s="8">
        <v>4.5</v>
      </c>
      <c r="V24" s="8">
        <v>4.5</v>
      </c>
      <c r="W24" s="8">
        <f t="shared" si="6"/>
        <v>9</v>
      </c>
      <c r="X24" s="9">
        <v>3.5</v>
      </c>
      <c r="Y24" s="9">
        <v>4</v>
      </c>
      <c r="Z24" s="9">
        <f t="shared" si="7"/>
        <v>7.5</v>
      </c>
      <c r="AA24" s="11">
        <f t="shared" si="8"/>
        <v>27</v>
      </c>
      <c r="AB24" s="11">
        <f t="shared" si="9"/>
        <v>27</v>
      </c>
      <c r="AC24" s="11">
        <f t="shared" si="10"/>
        <v>54</v>
      </c>
      <c r="AD24" s="10">
        <v>2</v>
      </c>
      <c r="AE24" s="10">
        <v>2</v>
      </c>
      <c r="AF24" s="10">
        <f t="shared" si="11"/>
        <v>4</v>
      </c>
      <c r="AG24" s="11">
        <f t="shared" si="12"/>
        <v>29</v>
      </c>
      <c r="AH24" s="11">
        <f t="shared" si="13"/>
        <v>29</v>
      </c>
      <c r="AI24" s="11">
        <f t="shared" si="14"/>
        <v>58</v>
      </c>
      <c r="AJ24" s="11" t="s">
        <v>42</v>
      </c>
      <c r="AK24" s="12">
        <v>3.5</v>
      </c>
      <c r="AL24" s="12">
        <v>3.5</v>
      </c>
      <c r="AM24" s="12">
        <f t="shared" si="15"/>
        <v>7</v>
      </c>
      <c r="AN24" s="11">
        <f t="shared" si="16"/>
        <v>65</v>
      </c>
    </row>
    <row r="25" spans="1:40" x14ac:dyDescent="0.2">
      <c r="A25" t="s">
        <v>70</v>
      </c>
      <c r="B25" t="s">
        <v>71</v>
      </c>
      <c r="C25" s="2">
        <v>3.5</v>
      </c>
      <c r="D25" s="2">
        <v>3.5</v>
      </c>
      <c r="E25" s="2">
        <f t="shared" si="0"/>
        <v>7</v>
      </c>
      <c r="F25" s="3">
        <v>3</v>
      </c>
      <c r="G25" s="3">
        <v>1.5</v>
      </c>
      <c r="H25" s="3">
        <f t="shared" si="1"/>
        <v>4.5</v>
      </c>
      <c r="I25" s="4">
        <v>2.5</v>
      </c>
      <c r="J25" s="4">
        <v>3.5</v>
      </c>
      <c r="K25" s="4">
        <f t="shared" si="2"/>
        <v>6</v>
      </c>
      <c r="L25" s="5">
        <v>2.5</v>
      </c>
      <c r="M25" s="5">
        <v>3.5</v>
      </c>
      <c r="N25" s="5">
        <f t="shared" si="3"/>
        <v>6</v>
      </c>
      <c r="O25" s="6">
        <v>2.5</v>
      </c>
      <c r="P25" s="6">
        <v>3</v>
      </c>
      <c r="Q25" s="6">
        <f t="shared" si="4"/>
        <v>5.5</v>
      </c>
      <c r="R25" s="7">
        <v>4</v>
      </c>
      <c r="S25" s="7">
        <v>3.5</v>
      </c>
      <c r="T25" s="7">
        <f t="shared" si="5"/>
        <v>7.5</v>
      </c>
      <c r="U25" s="8">
        <v>4</v>
      </c>
      <c r="V25" s="8">
        <v>3.5</v>
      </c>
      <c r="W25" s="8">
        <f t="shared" si="6"/>
        <v>7.5</v>
      </c>
      <c r="X25" s="9">
        <v>3</v>
      </c>
      <c r="Y25" s="9">
        <v>3.5</v>
      </c>
      <c r="Z25" s="9">
        <f t="shared" si="7"/>
        <v>6.5</v>
      </c>
      <c r="AA25" s="11">
        <f t="shared" si="8"/>
        <v>25</v>
      </c>
      <c r="AB25" s="11">
        <f t="shared" si="9"/>
        <v>25.5</v>
      </c>
      <c r="AC25" s="11">
        <f t="shared" si="10"/>
        <v>50.5</v>
      </c>
      <c r="AD25" s="10">
        <v>3</v>
      </c>
      <c r="AE25" s="10">
        <v>4</v>
      </c>
      <c r="AF25" s="10">
        <f t="shared" si="11"/>
        <v>7</v>
      </c>
      <c r="AG25" s="11">
        <f t="shared" si="12"/>
        <v>28</v>
      </c>
      <c r="AH25" s="11">
        <f t="shared" si="13"/>
        <v>29.5</v>
      </c>
      <c r="AI25" s="11">
        <f t="shared" si="14"/>
        <v>57.5</v>
      </c>
      <c r="AJ25" s="11" t="s">
        <v>42</v>
      </c>
      <c r="AK25" s="12">
        <v>3</v>
      </c>
      <c r="AL25" s="12">
        <v>2.5</v>
      </c>
      <c r="AM25" s="12">
        <f t="shared" si="15"/>
        <v>5.5</v>
      </c>
      <c r="AN25" s="11">
        <f t="shared" si="16"/>
        <v>63</v>
      </c>
    </row>
    <row r="26" spans="1:40" x14ac:dyDescent="0.2">
      <c r="A26" t="s">
        <v>156</v>
      </c>
      <c r="B26" t="s">
        <v>164</v>
      </c>
      <c r="C26" s="2">
        <v>3</v>
      </c>
      <c r="D26" s="2">
        <v>2.5</v>
      </c>
      <c r="E26" s="2">
        <f t="shared" si="0"/>
        <v>5.5</v>
      </c>
      <c r="F26" s="3">
        <v>3</v>
      </c>
      <c r="G26" s="3">
        <v>3</v>
      </c>
      <c r="H26" s="3">
        <f t="shared" si="1"/>
        <v>6</v>
      </c>
      <c r="I26" s="4">
        <v>2</v>
      </c>
      <c r="J26" s="4">
        <v>1</v>
      </c>
      <c r="K26" s="4">
        <f t="shared" si="2"/>
        <v>3</v>
      </c>
      <c r="L26" s="5">
        <v>3.5</v>
      </c>
      <c r="M26" s="5">
        <v>4</v>
      </c>
      <c r="N26" s="5">
        <f t="shared" si="3"/>
        <v>7.5</v>
      </c>
      <c r="O26" s="6">
        <v>3</v>
      </c>
      <c r="P26" s="6">
        <v>3.5</v>
      </c>
      <c r="Q26" s="6">
        <f t="shared" si="4"/>
        <v>6.5</v>
      </c>
      <c r="R26" s="7">
        <v>3.5</v>
      </c>
      <c r="S26" s="7">
        <v>3.5</v>
      </c>
      <c r="T26" s="7">
        <f t="shared" si="5"/>
        <v>7</v>
      </c>
      <c r="U26" s="8">
        <v>3.5</v>
      </c>
      <c r="V26" s="8">
        <v>3.5</v>
      </c>
      <c r="W26" s="8">
        <f t="shared" si="6"/>
        <v>7</v>
      </c>
      <c r="X26" s="9">
        <v>3</v>
      </c>
      <c r="Y26" s="9">
        <v>2.5</v>
      </c>
      <c r="Z26" s="9">
        <f t="shared" si="7"/>
        <v>5.5</v>
      </c>
      <c r="AA26" s="11">
        <f t="shared" si="8"/>
        <v>24.5</v>
      </c>
      <c r="AB26" s="11">
        <f t="shared" si="9"/>
        <v>23.5</v>
      </c>
      <c r="AC26" s="11">
        <f t="shared" si="10"/>
        <v>48</v>
      </c>
      <c r="AD26" s="10">
        <v>2</v>
      </c>
      <c r="AE26" s="10">
        <v>2</v>
      </c>
      <c r="AF26" s="10">
        <f t="shared" si="11"/>
        <v>4</v>
      </c>
      <c r="AG26" s="11">
        <f t="shared" si="12"/>
        <v>26.5</v>
      </c>
      <c r="AH26" s="11">
        <f t="shared" si="13"/>
        <v>25.5</v>
      </c>
      <c r="AI26" s="11">
        <f t="shared" si="14"/>
        <v>52</v>
      </c>
      <c r="AJ26" s="11" t="s">
        <v>45</v>
      </c>
      <c r="AK26" s="12">
        <v>0</v>
      </c>
      <c r="AL26" s="12">
        <v>0</v>
      </c>
      <c r="AM26" s="12">
        <f t="shared" si="15"/>
        <v>0</v>
      </c>
      <c r="AN26" s="11">
        <f t="shared" si="16"/>
        <v>52</v>
      </c>
    </row>
    <row r="27" spans="1:40" x14ac:dyDescent="0.2">
      <c r="A27" t="s">
        <v>173</v>
      </c>
      <c r="B27" t="s">
        <v>191</v>
      </c>
      <c r="C27" s="2">
        <v>2.5</v>
      </c>
      <c r="D27" s="2">
        <v>2.5</v>
      </c>
      <c r="E27" s="2">
        <f t="shared" si="0"/>
        <v>5</v>
      </c>
      <c r="F27" s="3">
        <v>2.5</v>
      </c>
      <c r="G27" s="3">
        <v>2.5</v>
      </c>
      <c r="H27" s="3">
        <f t="shared" si="1"/>
        <v>5</v>
      </c>
      <c r="I27" s="4">
        <v>3.5</v>
      </c>
      <c r="J27" s="4">
        <v>3</v>
      </c>
      <c r="K27" s="4">
        <f t="shared" si="2"/>
        <v>6.5</v>
      </c>
      <c r="L27" s="5">
        <v>3</v>
      </c>
      <c r="M27" s="5">
        <v>3.5</v>
      </c>
      <c r="N27" s="5">
        <f t="shared" si="3"/>
        <v>6.5</v>
      </c>
      <c r="O27" s="6">
        <v>3</v>
      </c>
      <c r="P27" s="6">
        <v>2.5</v>
      </c>
      <c r="Q27" s="6">
        <f t="shared" si="4"/>
        <v>5.5</v>
      </c>
      <c r="R27" s="7">
        <v>4</v>
      </c>
      <c r="S27" s="7">
        <v>4</v>
      </c>
      <c r="T27" s="7">
        <f t="shared" si="5"/>
        <v>8</v>
      </c>
      <c r="U27" s="8">
        <v>2</v>
      </c>
      <c r="V27" s="8">
        <v>2</v>
      </c>
      <c r="W27" s="8">
        <f t="shared" si="6"/>
        <v>4</v>
      </c>
      <c r="X27" s="9">
        <v>3.5</v>
      </c>
      <c r="Y27" s="9">
        <v>2</v>
      </c>
      <c r="Z27" s="9">
        <f t="shared" si="7"/>
        <v>5.5</v>
      </c>
      <c r="AA27" s="11">
        <f t="shared" si="8"/>
        <v>24</v>
      </c>
      <c r="AB27" s="11">
        <f t="shared" si="9"/>
        <v>22</v>
      </c>
      <c r="AC27" s="11">
        <f t="shared" si="10"/>
        <v>46</v>
      </c>
      <c r="AD27" s="10">
        <v>3.5</v>
      </c>
      <c r="AE27" s="10">
        <v>3.5</v>
      </c>
      <c r="AF27" s="10">
        <f t="shared" si="11"/>
        <v>7</v>
      </c>
      <c r="AG27" s="11">
        <f t="shared" si="12"/>
        <v>27.5</v>
      </c>
      <c r="AH27" s="11">
        <f t="shared" si="13"/>
        <v>25.5</v>
      </c>
      <c r="AI27" s="11">
        <f t="shared" si="14"/>
        <v>53</v>
      </c>
      <c r="AJ27" s="11" t="s">
        <v>42</v>
      </c>
      <c r="AK27" s="12">
        <v>0</v>
      </c>
      <c r="AL27" s="12">
        <v>0</v>
      </c>
      <c r="AM27" s="12">
        <f t="shared" si="15"/>
        <v>0</v>
      </c>
      <c r="AN27" s="11">
        <f t="shared" si="16"/>
        <v>53</v>
      </c>
    </row>
    <row r="28" spans="1:40" x14ac:dyDescent="0.2">
      <c r="A28" t="s">
        <v>172</v>
      </c>
      <c r="B28" t="s">
        <v>138</v>
      </c>
      <c r="C28" s="2">
        <v>2</v>
      </c>
      <c r="D28" s="2">
        <v>2.5</v>
      </c>
      <c r="E28" s="2">
        <f t="shared" si="0"/>
        <v>4.5</v>
      </c>
      <c r="F28" s="3">
        <v>1.5</v>
      </c>
      <c r="G28" s="3">
        <v>1.5</v>
      </c>
      <c r="H28" s="3">
        <f t="shared" si="1"/>
        <v>3</v>
      </c>
      <c r="I28" s="4">
        <v>3</v>
      </c>
      <c r="J28" s="4">
        <v>3</v>
      </c>
      <c r="K28" s="4">
        <f t="shared" si="2"/>
        <v>6</v>
      </c>
      <c r="L28" s="5">
        <v>2.5</v>
      </c>
      <c r="M28" s="5">
        <v>2</v>
      </c>
      <c r="N28" s="5">
        <f t="shared" si="3"/>
        <v>4.5</v>
      </c>
      <c r="O28" s="6">
        <v>3</v>
      </c>
      <c r="P28" s="6">
        <v>3.5</v>
      </c>
      <c r="Q28" s="6">
        <f t="shared" si="4"/>
        <v>6.5</v>
      </c>
      <c r="R28" s="7">
        <v>2.5</v>
      </c>
      <c r="S28" s="7">
        <v>3.5</v>
      </c>
      <c r="T28" s="7">
        <f t="shared" si="5"/>
        <v>6</v>
      </c>
      <c r="U28" s="8">
        <v>2</v>
      </c>
      <c r="V28" s="8">
        <v>3</v>
      </c>
      <c r="W28" s="8">
        <f t="shared" si="6"/>
        <v>5</v>
      </c>
      <c r="X28" s="9">
        <v>2</v>
      </c>
      <c r="Y28" s="9">
        <v>3</v>
      </c>
      <c r="Z28" s="9">
        <f t="shared" si="7"/>
        <v>5</v>
      </c>
      <c r="AA28" s="11">
        <f t="shared" si="8"/>
        <v>18.5</v>
      </c>
      <c r="AB28" s="11">
        <f t="shared" si="9"/>
        <v>22</v>
      </c>
      <c r="AC28" s="11">
        <f t="shared" si="10"/>
        <v>40.5</v>
      </c>
      <c r="AD28" s="10">
        <v>2.5</v>
      </c>
      <c r="AE28" s="10">
        <v>3.5</v>
      </c>
      <c r="AF28" s="10">
        <f t="shared" si="11"/>
        <v>6</v>
      </c>
      <c r="AG28" s="11">
        <f t="shared" si="12"/>
        <v>21</v>
      </c>
      <c r="AH28" s="11">
        <f t="shared" si="13"/>
        <v>25.5</v>
      </c>
      <c r="AI28" s="11">
        <f t="shared" si="14"/>
        <v>46.5</v>
      </c>
      <c r="AJ28" s="11" t="s">
        <v>42</v>
      </c>
      <c r="AK28" s="12">
        <v>3.5</v>
      </c>
      <c r="AL28" s="12">
        <v>3.5</v>
      </c>
      <c r="AM28" s="12">
        <f t="shared" si="15"/>
        <v>7</v>
      </c>
      <c r="AN28" s="11">
        <f t="shared" si="16"/>
        <v>53.5</v>
      </c>
    </row>
    <row r="29" spans="1:40" x14ac:dyDescent="0.2">
      <c r="A29" t="s">
        <v>145</v>
      </c>
      <c r="B29" t="s">
        <v>146</v>
      </c>
      <c r="C29" s="2">
        <v>3</v>
      </c>
      <c r="D29" s="2">
        <v>3</v>
      </c>
      <c r="E29" s="2">
        <f t="shared" si="0"/>
        <v>6</v>
      </c>
      <c r="F29" s="3">
        <v>2.5</v>
      </c>
      <c r="G29" s="3">
        <v>2.5</v>
      </c>
      <c r="H29" s="3">
        <f t="shared" si="1"/>
        <v>5</v>
      </c>
      <c r="I29" s="4">
        <v>2.5</v>
      </c>
      <c r="J29" s="4">
        <v>2.5</v>
      </c>
      <c r="K29" s="4">
        <f t="shared" si="2"/>
        <v>5</v>
      </c>
      <c r="L29" s="5">
        <v>3.5</v>
      </c>
      <c r="M29" s="5">
        <v>3.5</v>
      </c>
      <c r="N29" s="5">
        <f t="shared" si="3"/>
        <v>7</v>
      </c>
      <c r="O29" s="6">
        <v>3</v>
      </c>
      <c r="P29" s="6">
        <v>3</v>
      </c>
      <c r="Q29" s="6">
        <f t="shared" si="4"/>
        <v>6</v>
      </c>
      <c r="R29" s="7">
        <v>3.5</v>
      </c>
      <c r="S29" s="7">
        <v>3</v>
      </c>
      <c r="T29" s="7">
        <f t="shared" si="5"/>
        <v>6.5</v>
      </c>
      <c r="U29" s="8">
        <v>1.5</v>
      </c>
      <c r="V29" s="8">
        <v>1.5</v>
      </c>
      <c r="W29" s="8">
        <f t="shared" si="6"/>
        <v>3</v>
      </c>
      <c r="X29" s="9">
        <v>3.5</v>
      </c>
      <c r="Y29" s="9">
        <v>2.5</v>
      </c>
      <c r="Z29" s="9">
        <f t="shared" si="7"/>
        <v>6</v>
      </c>
      <c r="AA29" s="11">
        <f t="shared" si="8"/>
        <v>23</v>
      </c>
      <c r="AB29" s="11">
        <f t="shared" si="9"/>
        <v>21.5</v>
      </c>
      <c r="AC29" s="11">
        <f t="shared" si="10"/>
        <v>44.5</v>
      </c>
      <c r="AD29" s="10">
        <v>0</v>
      </c>
      <c r="AE29" s="10">
        <v>0</v>
      </c>
      <c r="AF29" s="10">
        <f t="shared" si="11"/>
        <v>0</v>
      </c>
      <c r="AG29" s="11">
        <f t="shared" si="12"/>
        <v>23</v>
      </c>
      <c r="AH29" s="11">
        <f t="shared" si="13"/>
        <v>21.5</v>
      </c>
      <c r="AI29" s="11">
        <f t="shared" si="14"/>
        <v>44.5</v>
      </c>
      <c r="AJ29" s="11" t="s">
        <v>45</v>
      </c>
      <c r="AK29" s="12">
        <v>0</v>
      </c>
      <c r="AL29" s="12">
        <v>0</v>
      </c>
      <c r="AM29" s="12">
        <f t="shared" si="15"/>
        <v>0</v>
      </c>
      <c r="AN29" s="11">
        <f t="shared" si="16"/>
        <v>44.5</v>
      </c>
    </row>
    <row r="30" spans="1:40" x14ac:dyDescent="0.2">
      <c r="A30" t="s">
        <v>66</v>
      </c>
      <c r="B30" t="s">
        <v>67</v>
      </c>
      <c r="C30" s="2">
        <v>3.5</v>
      </c>
      <c r="D30" s="2">
        <v>4</v>
      </c>
      <c r="E30" s="2">
        <f t="shared" si="0"/>
        <v>7.5</v>
      </c>
      <c r="F30" s="3">
        <v>2</v>
      </c>
      <c r="G30" s="3">
        <v>3.5</v>
      </c>
      <c r="H30" s="3">
        <f t="shared" si="1"/>
        <v>5.5</v>
      </c>
      <c r="I30" s="4">
        <v>4</v>
      </c>
      <c r="J30" s="4">
        <v>4.5</v>
      </c>
      <c r="K30" s="4">
        <f t="shared" si="2"/>
        <v>8.5</v>
      </c>
      <c r="L30" s="5">
        <v>2</v>
      </c>
      <c r="M30" s="5">
        <v>2</v>
      </c>
      <c r="N30" s="5">
        <f t="shared" si="3"/>
        <v>4</v>
      </c>
      <c r="O30" s="6">
        <v>3</v>
      </c>
      <c r="P30" s="6">
        <v>3.5</v>
      </c>
      <c r="Q30" s="6">
        <f t="shared" si="4"/>
        <v>6.5</v>
      </c>
      <c r="R30" s="7">
        <v>3.5</v>
      </c>
      <c r="S30" s="7">
        <v>4.5</v>
      </c>
      <c r="T30" s="7">
        <f t="shared" si="5"/>
        <v>8</v>
      </c>
      <c r="U30" s="8">
        <v>4</v>
      </c>
      <c r="V30" s="8">
        <v>4</v>
      </c>
      <c r="W30" s="8">
        <f t="shared" si="6"/>
        <v>8</v>
      </c>
      <c r="X30" s="9">
        <v>3</v>
      </c>
      <c r="Y30" s="9">
        <v>3</v>
      </c>
      <c r="Z30" s="9">
        <f t="shared" si="7"/>
        <v>6</v>
      </c>
      <c r="AA30" s="11">
        <f t="shared" si="8"/>
        <v>25</v>
      </c>
      <c r="AB30" s="11">
        <f t="shared" si="9"/>
        <v>29</v>
      </c>
      <c r="AC30" s="11">
        <f t="shared" si="10"/>
        <v>54</v>
      </c>
      <c r="AD30" s="10">
        <v>2.5</v>
      </c>
      <c r="AE30" s="10">
        <v>2.5</v>
      </c>
      <c r="AF30" s="10">
        <f t="shared" si="11"/>
        <v>5</v>
      </c>
      <c r="AG30" s="11">
        <f t="shared" si="12"/>
        <v>27.5</v>
      </c>
      <c r="AH30" s="11">
        <f t="shared" si="13"/>
        <v>31.5</v>
      </c>
      <c r="AI30" s="11">
        <f t="shared" si="14"/>
        <v>59</v>
      </c>
      <c r="AJ30" s="11" t="s">
        <v>45</v>
      </c>
      <c r="AK30" s="12">
        <v>0</v>
      </c>
      <c r="AL30" s="12">
        <v>0</v>
      </c>
      <c r="AM30" s="12">
        <f t="shared" si="15"/>
        <v>0</v>
      </c>
      <c r="AN30" s="11">
        <f t="shared" si="16"/>
        <v>59</v>
      </c>
    </row>
    <row r="31" spans="1:40" x14ac:dyDescent="0.2">
      <c r="A31" t="s">
        <v>174</v>
      </c>
      <c r="B31" t="s">
        <v>186</v>
      </c>
      <c r="C31" s="2">
        <v>3.5</v>
      </c>
      <c r="D31" s="2">
        <v>3.5</v>
      </c>
      <c r="E31" s="2">
        <f t="shared" si="0"/>
        <v>7</v>
      </c>
      <c r="F31" s="3">
        <v>3</v>
      </c>
      <c r="G31" s="3">
        <v>3</v>
      </c>
      <c r="H31" s="3">
        <f t="shared" si="1"/>
        <v>6</v>
      </c>
      <c r="I31" s="4">
        <v>2.5</v>
      </c>
      <c r="J31" s="4">
        <v>2.5</v>
      </c>
      <c r="K31" s="4">
        <f t="shared" si="2"/>
        <v>5</v>
      </c>
      <c r="L31" s="5">
        <v>3</v>
      </c>
      <c r="M31" s="5">
        <v>3</v>
      </c>
      <c r="N31" s="5">
        <f t="shared" si="3"/>
        <v>6</v>
      </c>
      <c r="O31" s="6">
        <v>3.5</v>
      </c>
      <c r="P31" s="6">
        <v>3</v>
      </c>
      <c r="Q31" s="6">
        <f t="shared" si="4"/>
        <v>6.5</v>
      </c>
      <c r="R31" s="7">
        <v>3.5</v>
      </c>
      <c r="S31" s="7">
        <v>3</v>
      </c>
      <c r="T31" s="7">
        <f t="shared" si="5"/>
        <v>6.5</v>
      </c>
      <c r="U31" s="8">
        <v>3.5</v>
      </c>
      <c r="V31" s="8">
        <v>3</v>
      </c>
      <c r="W31" s="8">
        <f t="shared" si="6"/>
        <v>6.5</v>
      </c>
      <c r="X31" s="9">
        <v>3.5</v>
      </c>
      <c r="Y31" s="9">
        <v>4</v>
      </c>
      <c r="Z31" s="9">
        <f t="shared" si="7"/>
        <v>7.5</v>
      </c>
      <c r="AA31" s="11">
        <f t="shared" si="8"/>
        <v>26</v>
      </c>
      <c r="AB31" s="11">
        <f t="shared" si="9"/>
        <v>25</v>
      </c>
      <c r="AC31" s="11">
        <f t="shared" si="10"/>
        <v>51</v>
      </c>
      <c r="AD31" s="10">
        <v>3</v>
      </c>
      <c r="AE31" s="10">
        <v>3</v>
      </c>
      <c r="AF31" s="10">
        <f t="shared" si="11"/>
        <v>6</v>
      </c>
      <c r="AG31" s="11">
        <f t="shared" si="12"/>
        <v>29</v>
      </c>
      <c r="AH31" s="11">
        <f t="shared" si="13"/>
        <v>28</v>
      </c>
      <c r="AI31" s="11">
        <f t="shared" si="14"/>
        <v>57</v>
      </c>
      <c r="AJ31" s="11" t="s">
        <v>42</v>
      </c>
      <c r="AK31" s="12">
        <v>1</v>
      </c>
      <c r="AL31" s="12">
        <v>2.5</v>
      </c>
      <c r="AM31" s="12">
        <f t="shared" si="15"/>
        <v>3.5</v>
      </c>
      <c r="AN31" s="11">
        <f t="shared" si="16"/>
        <v>60.5</v>
      </c>
    </row>
    <row r="32" spans="1:40" x14ac:dyDescent="0.2">
      <c r="A32" t="s">
        <v>133</v>
      </c>
      <c r="B32" t="s">
        <v>134</v>
      </c>
      <c r="C32" s="2">
        <v>3.5</v>
      </c>
      <c r="D32" s="2">
        <v>3</v>
      </c>
      <c r="E32" s="2">
        <f t="shared" si="0"/>
        <v>6.5</v>
      </c>
      <c r="F32" s="3">
        <v>2.5</v>
      </c>
      <c r="G32" s="3">
        <v>1.5</v>
      </c>
      <c r="H32" s="3">
        <f t="shared" si="1"/>
        <v>4</v>
      </c>
      <c r="I32" s="4">
        <v>2.5</v>
      </c>
      <c r="J32" s="4">
        <v>2</v>
      </c>
      <c r="K32" s="4">
        <f t="shared" si="2"/>
        <v>4.5</v>
      </c>
      <c r="L32" s="5">
        <v>4.5</v>
      </c>
      <c r="M32" s="5">
        <v>4.5</v>
      </c>
      <c r="N32" s="5">
        <f t="shared" si="3"/>
        <v>9</v>
      </c>
      <c r="O32" s="6">
        <v>3.5</v>
      </c>
      <c r="P32" s="6">
        <v>3.5</v>
      </c>
      <c r="Q32" s="6">
        <f t="shared" si="4"/>
        <v>7</v>
      </c>
      <c r="R32" s="7">
        <v>4</v>
      </c>
      <c r="S32" s="7">
        <v>4</v>
      </c>
      <c r="T32" s="7">
        <f t="shared" si="5"/>
        <v>8</v>
      </c>
      <c r="U32" s="8">
        <v>1.5</v>
      </c>
      <c r="V32" s="8">
        <v>1</v>
      </c>
      <c r="W32" s="8">
        <f t="shared" si="6"/>
        <v>2.5</v>
      </c>
      <c r="X32" s="9">
        <v>2</v>
      </c>
      <c r="Y32" s="9">
        <v>2.5</v>
      </c>
      <c r="Z32" s="9">
        <f t="shared" si="7"/>
        <v>4.5</v>
      </c>
      <c r="AA32" s="11">
        <f t="shared" si="8"/>
        <v>24</v>
      </c>
      <c r="AB32" s="11">
        <f t="shared" si="9"/>
        <v>22</v>
      </c>
      <c r="AC32" s="11">
        <f t="shared" si="10"/>
        <v>46</v>
      </c>
      <c r="AD32" s="10">
        <v>1.5</v>
      </c>
      <c r="AE32" s="10">
        <v>2</v>
      </c>
      <c r="AF32" s="10">
        <f t="shared" si="11"/>
        <v>3.5</v>
      </c>
      <c r="AG32" s="11">
        <f t="shared" si="12"/>
        <v>25.5</v>
      </c>
      <c r="AH32" s="11">
        <f t="shared" si="13"/>
        <v>24</v>
      </c>
      <c r="AI32" s="11">
        <f t="shared" si="14"/>
        <v>49.5</v>
      </c>
      <c r="AJ32" s="11" t="s">
        <v>42</v>
      </c>
      <c r="AK32" s="12">
        <v>3</v>
      </c>
      <c r="AL32" s="12">
        <v>3</v>
      </c>
      <c r="AM32" s="12">
        <f t="shared" si="15"/>
        <v>6</v>
      </c>
      <c r="AN32" s="11">
        <f t="shared" si="16"/>
        <v>55.5</v>
      </c>
    </row>
    <row r="33" spans="1:40" x14ac:dyDescent="0.2">
      <c r="A33" t="s">
        <v>131</v>
      </c>
      <c r="B33" t="s">
        <v>132</v>
      </c>
      <c r="C33" s="2">
        <v>3.5</v>
      </c>
      <c r="D33" s="2">
        <v>3</v>
      </c>
      <c r="E33" s="2">
        <f t="shared" si="0"/>
        <v>6.5</v>
      </c>
      <c r="F33" s="3">
        <v>2.5</v>
      </c>
      <c r="G33" s="3">
        <v>3.5</v>
      </c>
      <c r="H33" s="3">
        <f t="shared" si="1"/>
        <v>6</v>
      </c>
      <c r="I33" s="4">
        <v>2.5</v>
      </c>
      <c r="J33" s="4">
        <v>3</v>
      </c>
      <c r="K33" s="4">
        <f t="shared" si="2"/>
        <v>5.5</v>
      </c>
      <c r="L33" s="5">
        <v>4</v>
      </c>
      <c r="M33" s="5">
        <v>4</v>
      </c>
      <c r="N33" s="5">
        <f t="shared" si="3"/>
        <v>8</v>
      </c>
      <c r="O33" s="6">
        <v>2.5</v>
      </c>
      <c r="P33" s="6">
        <v>3</v>
      </c>
      <c r="Q33" s="6">
        <f t="shared" si="4"/>
        <v>5.5</v>
      </c>
      <c r="R33" s="7">
        <v>3</v>
      </c>
      <c r="S33" s="7">
        <v>3.5</v>
      </c>
      <c r="T33" s="7">
        <f t="shared" si="5"/>
        <v>6.5</v>
      </c>
      <c r="U33" s="8">
        <v>1</v>
      </c>
      <c r="V33" s="8">
        <v>1</v>
      </c>
      <c r="W33" s="8">
        <f t="shared" si="6"/>
        <v>2</v>
      </c>
      <c r="X33" s="9">
        <v>2.5</v>
      </c>
      <c r="Y33" s="9">
        <v>3</v>
      </c>
      <c r="Z33" s="9">
        <f t="shared" si="7"/>
        <v>5.5</v>
      </c>
      <c r="AA33" s="11">
        <f t="shared" si="8"/>
        <v>21.5</v>
      </c>
      <c r="AB33" s="11">
        <f t="shared" si="9"/>
        <v>24</v>
      </c>
      <c r="AC33" s="11">
        <f t="shared" si="10"/>
        <v>45.5</v>
      </c>
      <c r="AD33" s="10">
        <v>2.5</v>
      </c>
      <c r="AE33" s="10">
        <v>2</v>
      </c>
      <c r="AF33" s="10">
        <f t="shared" si="11"/>
        <v>4.5</v>
      </c>
      <c r="AG33" s="11">
        <f t="shared" si="12"/>
        <v>24</v>
      </c>
      <c r="AH33" s="11">
        <f t="shared" si="13"/>
        <v>26</v>
      </c>
      <c r="AI33" s="11">
        <f t="shared" si="14"/>
        <v>50</v>
      </c>
      <c r="AJ33" s="11" t="s">
        <v>42</v>
      </c>
      <c r="AK33" s="12">
        <v>3.5</v>
      </c>
      <c r="AL33" s="12">
        <v>3.5</v>
      </c>
      <c r="AM33" s="12">
        <f t="shared" si="15"/>
        <v>7</v>
      </c>
      <c r="AN33" s="11">
        <f t="shared" si="16"/>
        <v>57</v>
      </c>
    </row>
    <row r="34" spans="1:40" x14ac:dyDescent="0.2">
      <c r="A34" t="s">
        <v>151</v>
      </c>
      <c r="B34" t="s">
        <v>152</v>
      </c>
      <c r="C34" s="2">
        <v>4</v>
      </c>
      <c r="D34" s="2">
        <v>2.5</v>
      </c>
      <c r="E34" s="2">
        <f t="shared" si="0"/>
        <v>6.5</v>
      </c>
      <c r="F34" s="3">
        <v>0</v>
      </c>
      <c r="G34" s="3">
        <v>0</v>
      </c>
      <c r="H34" s="3">
        <f t="shared" si="1"/>
        <v>0</v>
      </c>
      <c r="I34" s="4">
        <v>0.5</v>
      </c>
      <c r="J34" s="4">
        <v>0.5</v>
      </c>
      <c r="K34" s="4">
        <f t="shared" si="2"/>
        <v>1</v>
      </c>
      <c r="L34" s="5">
        <v>4</v>
      </c>
      <c r="M34" s="5">
        <v>4</v>
      </c>
      <c r="N34" s="5">
        <f t="shared" si="3"/>
        <v>8</v>
      </c>
      <c r="O34" s="6">
        <v>1.5</v>
      </c>
      <c r="P34" s="6">
        <v>2</v>
      </c>
      <c r="Q34" s="6">
        <f t="shared" si="4"/>
        <v>3.5</v>
      </c>
      <c r="R34" s="7">
        <v>4</v>
      </c>
      <c r="S34" s="7">
        <v>1.5</v>
      </c>
      <c r="T34" s="7">
        <f t="shared" si="5"/>
        <v>5.5</v>
      </c>
      <c r="U34" s="8">
        <v>3</v>
      </c>
      <c r="V34" s="8">
        <v>3.5</v>
      </c>
      <c r="W34" s="8">
        <f t="shared" si="6"/>
        <v>6.5</v>
      </c>
      <c r="X34" s="9">
        <v>1</v>
      </c>
      <c r="Y34" s="9">
        <v>1.5</v>
      </c>
      <c r="Z34" s="9">
        <f t="shared" si="7"/>
        <v>2.5</v>
      </c>
      <c r="AA34" s="11">
        <f t="shared" si="8"/>
        <v>18</v>
      </c>
      <c r="AB34" s="11">
        <f t="shared" si="9"/>
        <v>15.5</v>
      </c>
      <c r="AC34" s="11">
        <f t="shared" si="10"/>
        <v>33.5</v>
      </c>
      <c r="AD34" s="10">
        <v>1</v>
      </c>
      <c r="AE34" s="10">
        <v>0.5</v>
      </c>
      <c r="AF34" s="10">
        <f t="shared" si="11"/>
        <v>1.5</v>
      </c>
      <c r="AG34" s="11">
        <f t="shared" si="12"/>
        <v>19</v>
      </c>
      <c r="AH34" s="11">
        <f t="shared" si="13"/>
        <v>16</v>
      </c>
      <c r="AI34" s="11">
        <f t="shared" si="14"/>
        <v>35</v>
      </c>
      <c r="AJ34" s="11" t="s">
        <v>42</v>
      </c>
      <c r="AK34" s="12">
        <v>3</v>
      </c>
      <c r="AL34" s="12">
        <v>2.5</v>
      </c>
      <c r="AM34" s="12">
        <f t="shared" si="15"/>
        <v>5.5</v>
      </c>
      <c r="AN34" s="11">
        <f t="shared" si="16"/>
        <v>40.5</v>
      </c>
    </row>
    <row r="35" spans="1:40" x14ac:dyDescent="0.2">
      <c r="A35" t="s">
        <v>108</v>
      </c>
      <c r="B35" t="s">
        <v>109</v>
      </c>
      <c r="C35" s="2">
        <v>2.5</v>
      </c>
      <c r="D35" s="2">
        <v>2.5</v>
      </c>
      <c r="E35" s="2">
        <f t="shared" si="0"/>
        <v>5</v>
      </c>
      <c r="F35" s="3">
        <v>1.5</v>
      </c>
      <c r="G35" s="3">
        <v>1.5</v>
      </c>
      <c r="H35" s="3">
        <f t="shared" si="1"/>
        <v>3</v>
      </c>
      <c r="I35" s="4">
        <v>4</v>
      </c>
      <c r="J35" s="4">
        <v>4</v>
      </c>
      <c r="K35" s="4">
        <f t="shared" si="2"/>
        <v>8</v>
      </c>
      <c r="L35" s="5">
        <v>2.5</v>
      </c>
      <c r="M35" s="5">
        <v>2.5</v>
      </c>
      <c r="N35" s="5">
        <f t="shared" si="3"/>
        <v>5</v>
      </c>
      <c r="O35" s="6">
        <v>3</v>
      </c>
      <c r="P35" s="6">
        <v>3.5</v>
      </c>
      <c r="Q35" s="6">
        <f t="shared" si="4"/>
        <v>6.5</v>
      </c>
      <c r="R35" s="7">
        <v>4</v>
      </c>
      <c r="S35" s="7">
        <v>3</v>
      </c>
      <c r="T35" s="7">
        <f t="shared" si="5"/>
        <v>7</v>
      </c>
      <c r="U35" s="8">
        <v>3.5</v>
      </c>
      <c r="V35" s="8">
        <v>3</v>
      </c>
      <c r="W35" s="8">
        <f t="shared" si="6"/>
        <v>6.5</v>
      </c>
      <c r="X35" s="9">
        <v>3.5</v>
      </c>
      <c r="Y35" s="9">
        <v>4</v>
      </c>
      <c r="Z35" s="9">
        <f t="shared" si="7"/>
        <v>7.5</v>
      </c>
      <c r="AA35" s="11">
        <f t="shared" si="8"/>
        <v>24.5</v>
      </c>
      <c r="AB35" s="11">
        <f t="shared" si="9"/>
        <v>24</v>
      </c>
      <c r="AC35" s="11">
        <f t="shared" si="10"/>
        <v>48.5</v>
      </c>
      <c r="AD35" s="10">
        <v>2.5</v>
      </c>
      <c r="AE35" s="10">
        <v>2.5</v>
      </c>
      <c r="AF35" s="10">
        <f t="shared" si="11"/>
        <v>5</v>
      </c>
      <c r="AG35" s="11">
        <f t="shared" si="12"/>
        <v>27</v>
      </c>
      <c r="AH35" s="11">
        <f t="shared" si="13"/>
        <v>26.5</v>
      </c>
      <c r="AI35" s="11">
        <f t="shared" si="14"/>
        <v>53.5</v>
      </c>
      <c r="AJ35" s="11" t="s">
        <v>45</v>
      </c>
      <c r="AK35" s="12">
        <v>0</v>
      </c>
      <c r="AL35" s="12">
        <v>0</v>
      </c>
      <c r="AM35" s="12">
        <f t="shared" si="15"/>
        <v>0</v>
      </c>
      <c r="AN35" s="11">
        <f t="shared" si="16"/>
        <v>53.5</v>
      </c>
    </row>
    <row r="36" spans="1:40" x14ac:dyDescent="0.2">
      <c r="A36" t="s">
        <v>178</v>
      </c>
      <c r="B36" t="s">
        <v>185</v>
      </c>
      <c r="C36" s="2">
        <v>2.5</v>
      </c>
      <c r="D36" s="2">
        <v>3</v>
      </c>
      <c r="E36" s="2">
        <f t="shared" si="0"/>
        <v>5.5</v>
      </c>
      <c r="F36" s="3">
        <v>1.5</v>
      </c>
      <c r="G36" s="3">
        <v>1.5</v>
      </c>
      <c r="H36" s="3">
        <f t="shared" si="1"/>
        <v>3</v>
      </c>
      <c r="I36" s="4">
        <v>2</v>
      </c>
      <c r="J36" s="4">
        <v>2</v>
      </c>
      <c r="K36" s="4">
        <f t="shared" si="2"/>
        <v>4</v>
      </c>
      <c r="L36" s="5">
        <v>3.5</v>
      </c>
      <c r="M36" s="5">
        <v>3.5</v>
      </c>
      <c r="N36" s="5">
        <f t="shared" si="3"/>
        <v>7</v>
      </c>
      <c r="O36" s="6">
        <v>2.5</v>
      </c>
      <c r="P36" s="6">
        <v>2.5</v>
      </c>
      <c r="Q36" s="6">
        <f t="shared" si="4"/>
        <v>5</v>
      </c>
      <c r="R36" s="7">
        <v>2.5</v>
      </c>
      <c r="S36" s="7">
        <v>2</v>
      </c>
      <c r="T36" s="7">
        <f t="shared" si="5"/>
        <v>4.5</v>
      </c>
      <c r="U36" s="8">
        <v>1.5</v>
      </c>
      <c r="V36" s="8">
        <v>1.5</v>
      </c>
      <c r="W36" s="8">
        <f t="shared" si="6"/>
        <v>3</v>
      </c>
      <c r="X36" s="9">
        <v>2.5</v>
      </c>
      <c r="Y36" s="9">
        <v>3</v>
      </c>
      <c r="Z36" s="9">
        <f t="shared" si="7"/>
        <v>5.5</v>
      </c>
      <c r="AA36" s="11">
        <f t="shared" si="8"/>
        <v>18.5</v>
      </c>
      <c r="AB36" s="11">
        <f t="shared" si="9"/>
        <v>19</v>
      </c>
      <c r="AC36" s="11">
        <f t="shared" si="10"/>
        <v>37.5</v>
      </c>
      <c r="AD36" s="10">
        <v>1.5</v>
      </c>
      <c r="AE36" s="10">
        <v>2</v>
      </c>
      <c r="AF36" s="10">
        <f t="shared" si="11"/>
        <v>3.5</v>
      </c>
      <c r="AG36" s="11">
        <f t="shared" si="12"/>
        <v>20</v>
      </c>
      <c r="AH36" s="11">
        <f t="shared" si="13"/>
        <v>21</v>
      </c>
      <c r="AI36" s="11">
        <f t="shared" si="14"/>
        <v>41</v>
      </c>
      <c r="AJ36" s="11" t="s">
        <v>45</v>
      </c>
      <c r="AK36" s="12">
        <v>0</v>
      </c>
      <c r="AL36" s="12">
        <v>0</v>
      </c>
      <c r="AM36" s="12">
        <f t="shared" si="15"/>
        <v>0</v>
      </c>
      <c r="AN36" s="11">
        <f t="shared" si="16"/>
        <v>41</v>
      </c>
    </row>
    <row r="37" spans="1:40" x14ac:dyDescent="0.2">
      <c r="A37" t="s">
        <v>80</v>
      </c>
      <c r="B37" t="s">
        <v>81</v>
      </c>
      <c r="C37" s="2">
        <v>2</v>
      </c>
      <c r="D37" s="2">
        <v>2.5</v>
      </c>
      <c r="E37" s="2">
        <f t="shared" si="0"/>
        <v>4.5</v>
      </c>
      <c r="F37" s="3">
        <v>2.5</v>
      </c>
      <c r="G37" s="3">
        <v>3.5</v>
      </c>
      <c r="H37" s="3">
        <f t="shared" si="1"/>
        <v>6</v>
      </c>
      <c r="I37" s="4">
        <v>4</v>
      </c>
      <c r="J37" s="4">
        <v>3.5</v>
      </c>
      <c r="K37" s="4">
        <f t="shared" si="2"/>
        <v>7.5</v>
      </c>
      <c r="L37" s="5">
        <v>3.5</v>
      </c>
      <c r="M37" s="5">
        <v>3.5</v>
      </c>
      <c r="N37" s="5">
        <f t="shared" si="3"/>
        <v>7</v>
      </c>
      <c r="O37" s="6">
        <v>4</v>
      </c>
      <c r="P37" s="6">
        <v>4</v>
      </c>
      <c r="Q37" s="6">
        <f t="shared" si="4"/>
        <v>8</v>
      </c>
      <c r="R37" s="7">
        <v>3.5</v>
      </c>
      <c r="S37" s="7">
        <v>3.5</v>
      </c>
      <c r="T37" s="7">
        <f t="shared" si="5"/>
        <v>7</v>
      </c>
      <c r="U37" s="8">
        <v>3.5</v>
      </c>
      <c r="V37" s="8">
        <v>3</v>
      </c>
      <c r="W37" s="8">
        <f t="shared" si="6"/>
        <v>6.5</v>
      </c>
      <c r="X37" s="9">
        <v>3.5</v>
      </c>
      <c r="Y37" s="9">
        <v>3</v>
      </c>
      <c r="Z37" s="9">
        <f t="shared" si="7"/>
        <v>6.5</v>
      </c>
      <c r="AA37" s="11">
        <f t="shared" si="8"/>
        <v>26.5</v>
      </c>
      <c r="AB37" s="11">
        <f t="shared" si="9"/>
        <v>26.5</v>
      </c>
      <c r="AC37" s="11">
        <f t="shared" si="10"/>
        <v>53</v>
      </c>
      <c r="AD37" s="10">
        <v>2.5</v>
      </c>
      <c r="AE37" s="10">
        <v>2.5</v>
      </c>
      <c r="AF37" s="10">
        <f t="shared" si="11"/>
        <v>5</v>
      </c>
      <c r="AG37" s="11">
        <f t="shared" si="12"/>
        <v>29</v>
      </c>
      <c r="AH37" s="11">
        <f t="shared" si="13"/>
        <v>29</v>
      </c>
      <c r="AI37" s="11">
        <f t="shared" si="14"/>
        <v>58</v>
      </c>
      <c r="AJ37" s="11" t="s">
        <v>42</v>
      </c>
      <c r="AK37" s="12">
        <v>0</v>
      </c>
      <c r="AL37" s="12">
        <v>0</v>
      </c>
      <c r="AM37" s="12">
        <f t="shared" si="15"/>
        <v>0</v>
      </c>
      <c r="AN37" s="11">
        <f t="shared" si="16"/>
        <v>58</v>
      </c>
    </row>
    <row r="38" spans="1:40" x14ac:dyDescent="0.2">
      <c r="A38" t="s">
        <v>160</v>
      </c>
      <c r="B38" t="s">
        <v>163</v>
      </c>
      <c r="C38" s="2">
        <v>3</v>
      </c>
      <c r="D38" s="2">
        <v>3.5</v>
      </c>
      <c r="E38" s="2">
        <f t="shared" si="0"/>
        <v>6.5</v>
      </c>
      <c r="F38" s="3">
        <v>3</v>
      </c>
      <c r="G38" s="3">
        <v>3</v>
      </c>
      <c r="H38" s="3">
        <f t="shared" si="1"/>
        <v>6</v>
      </c>
      <c r="I38" s="4">
        <v>3.5</v>
      </c>
      <c r="J38" s="4">
        <v>3.5</v>
      </c>
      <c r="K38" s="4">
        <f t="shared" si="2"/>
        <v>7</v>
      </c>
      <c r="L38" s="5">
        <v>2.5</v>
      </c>
      <c r="M38" s="5">
        <v>2</v>
      </c>
      <c r="N38" s="5">
        <f t="shared" si="3"/>
        <v>4.5</v>
      </c>
      <c r="O38" s="6">
        <v>3.5</v>
      </c>
      <c r="P38" s="6">
        <v>3</v>
      </c>
      <c r="Q38" s="6">
        <f t="shared" si="4"/>
        <v>6.5</v>
      </c>
      <c r="R38" s="7">
        <v>4</v>
      </c>
      <c r="S38" s="7">
        <v>4.5</v>
      </c>
      <c r="T38" s="7">
        <f t="shared" si="5"/>
        <v>8.5</v>
      </c>
      <c r="U38" s="8">
        <v>4</v>
      </c>
      <c r="V38" s="8">
        <v>3.5</v>
      </c>
      <c r="W38" s="8">
        <f t="shared" si="6"/>
        <v>7.5</v>
      </c>
      <c r="X38" s="9">
        <v>3.5</v>
      </c>
      <c r="Y38" s="9">
        <v>3</v>
      </c>
      <c r="Z38" s="9">
        <f t="shared" si="7"/>
        <v>6.5</v>
      </c>
      <c r="AA38" s="11">
        <f t="shared" si="8"/>
        <v>27</v>
      </c>
      <c r="AB38" s="11">
        <f t="shared" si="9"/>
        <v>26</v>
      </c>
      <c r="AC38" s="11">
        <f t="shared" si="10"/>
        <v>53</v>
      </c>
      <c r="AD38" s="10">
        <v>2.5</v>
      </c>
      <c r="AE38" s="10">
        <v>2</v>
      </c>
      <c r="AF38" s="10">
        <f t="shared" si="11"/>
        <v>4.5</v>
      </c>
      <c r="AG38" s="11">
        <f t="shared" si="12"/>
        <v>29.5</v>
      </c>
      <c r="AH38" s="11">
        <f t="shared" si="13"/>
        <v>28</v>
      </c>
      <c r="AI38" s="11">
        <f t="shared" si="14"/>
        <v>57.5</v>
      </c>
      <c r="AJ38" s="11" t="s">
        <v>42</v>
      </c>
      <c r="AK38" s="12">
        <v>0</v>
      </c>
      <c r="AL38" s="12">
        <v>0</v>
      </c>
      <c r="AM38" s="12">
        <f t="shared" si="15"/>
        <v>0</v>
      </c>
      <c r="AN38" s="11">
        <f t="shared" si="16"/>
        <v>57.5</v>
      </c>
    </row>
    <row r="39" spans="1:40" x14ac:dyDescent="0.2">
      <c r="A39" t="s">
        <v>141</v>
      </c>
      <c r="B39" t="s">
        <v>142</v>
      </c>
      <c r="C39" s="2">
        <v>1.5</v>
      </c>
      <c r="D39" s="2">
        <v>1</v>
      </c>
      <c r="E39" s="2">
        <f t="shared" si="0"/>
        <v>2.5</v>
      </c>
      <c r="F39" s="3">
        <v>2.5</v>
      </c>
      <c r="G39" s="3">
        <v>2</v>
      </c>
      <c r="H39" s="3">
        <f t="shared" si="1"/>
        <v>4.5</v>
      </c>
      <c r="I39" s="4">
        <v>2.5</v>
      </c>
      <c r="J39" s="4">
        <v>2.5</v>
      </c>
      <c r="K39" s="4">
        <f t="shared" si="2"/>
        <v>5</v>
      </c>
      <c r="L39" s="5">
        <v>4</v>
      </c>
      <c r="M39" s="5">
        <v>4</v>
      </c>
      <c r="N39" s="5">
        <f t="shared" si="3"/>
        <v>8</v>
      </c>
      <c r="O39" s="6">
        <v>3</v>
      </c>
      <c r="P39" s="6">
        <v>3</v>
      </c>
      <c r="Q39" s="6">
        <f t="shared" si="4"/>
        <v>6</v>
      </c>
      <c r="R39" s="7">
        <v>2.5</v>
      </c>
      <c r="S39" s="7">
        <v>3</v>
      </c>
      <c r="T39" s="7">
        <f t="shared" si="5"/>
        <v>5.5</v>
      </c>
      <c r="U39" s="8">
        <v>2</v>
      </c>
      <c r="V39" s="8">
        <v>2</v>
      </c>
      <c r="W39" s="8">
        <f t="shared" si="6"/>
        <v>4</v>
      </c>
      <c r="X39" s="9">
        <v>3</v>
      </c>
      <c r="Y39" s="9">
        <v>3</v>
      </c>
      <c r="Z39" s="9">
        <f t="shared" si="7"/>
        <v>6</v>
      </c>
      <c r="AA39" s="11">
        <f t="shared" si="8"/>
        <v>21</v>
      </c>
      <c r="AB39" s="11">
        <f t="shared" si="9"/>
        <v>20.5</v>
      </c>
      <c r="AC39" s="11">
        <f t="shared" si="10"/>
        <v>41.5</v>
      </c>
      <c r="AD39" s="10">
        <v>2</v>
      </c>
      <c r="AE39" s="10">
        <v>2</v>
      </c>
      <c r="AF39" s="10">
        <f t="shared" si="11"/>
        <v>4</v>
      </c>
      <c r="AG39" s="11">
        <f t="shared" si="12"/>
        <v>23</v>
      </c>
      <c r="AH39" s="11">
        <f t="shared" si="13"/>
        <v>22.5</v>
      </c>
      <c r="AI39" s="11">
        <f t="shared" si="14"/>
        <v>45.5</v>
      </c>
      <c r="AJ39" s="11" t="s">
        <v>45</v>
      </c>
      <c r="AK39" s="12">
        <v>0</v>
      </c>
      <c r="AL39" s="12">
        <v>0</v>
      </c>
      <c r="AM39" s="12">
        <f t="shared" si="15"/>
        <v>0</v>
      </c>
      <c r="AN39" s="11">
        <f t="shared" si="16"/>
        <v>45.5</v>
      </c>
    </row>
    <row r="40" spans="1:40" x14ac:dyDescent="0.2">
      <c r="A40" t="s">
        <v>139</v>
      </c>
      <c r="B40" t="s">
        <v>140</v>
      </c>
      <c r="C40" s="2">
        <v>2</v>
      </c>
      <c r="D40" s="2">
        <v>1.5</v>
      </c>
      <c r="E40" s="2">
        <f t="shared" ref="E40:E77" si="17">C40+D40</f>
        <v>3.5</v>
      </c>
      <c r="F40" s="3">
        <v>4</v>
      </c>
      <c r="G40" s="3">
        <v>3</v>
      </c>
      <c r="H40" s="3">
        <f t="shared" ref="H40:H77" si="18">F40+G40</f>
        <v>7</v>
      </c>
      <c r="I40" s="4">
        <v>2</v>
      </c>
      <c r="J40" s="4">
        <v>3</v>
      </c>
      <c r="K40" s="4">
        <f t="shared" ref="K40:K77" si="19">I40+J40</f>
        <v>5</v>
      </c>
      <c r="L40" s="5">
        <v>2.5</v>
      </c>
      <c r="M40" s="5">
        <v>2.5</v>
      </c>
      <c r="N40" s="5">
        <f t="shared" ref="N40:N77" si="20">L40+M40</f>
        <v>5</v>
      </c>
      <c r="O40" s="6">
        <v>3.5</v>
      </c>
      <c r="P40" s="6">
        <v>3</v>
      </c>
      <c r="Q40" s="6">
        <f t="shared" ref="Q40:Q77" si="21">O40+P40</f>
        <v>6.5</v>
      </c>
      <c r="R40" s="7">
        <v>2.5</v>
      </c>
      <c r="S40" s="7">
        <v>3.5</v>
      </c>
      <c r="T40" s="7">
        <f t="shared" ref="T40:T77" si="22">R40+S40</f>
        <v>6</v>
      </c>
      <c r="U40" s="8">
        <v>3</v>
      </c>
      <c r="V40" s="8">
        <v>2</v>
      </c>
      <c r="W40" s="8">
        <f t="shared" ref="W40:W77" si="23">U40+V40</f>
        <v>5</v>
      </c>
      <c r="X40" s="9">
        <v>1.5</v>
      </c>
      <c r="Y40" s="9">
        <v>2</v>
      </c>
      <c r="Z40" s="9">
        <f t="shared" ref="Z40:Z77" si="24">X40+Y40</f>
        <v>3.5</v>
      </c>
      <c r="AA40" s="11">
        <f t="shared" ref="AA40:AA77" si="25">C40+F40+I40+L40+O40+R40+U40+X40</f>
        <v>21</v>
      </c>
      <c r="AB40" s="11">
        <f t="shared" ref="AB40:AB77" si="26">D40+G40+J40+M40+P40+S40+V40+Y40</f>
        <v>20.5</v>
      </c>
      <c r="AC40" s="11">
        <f t="shared" ref="AC40:AC77" si="27">AA40+AB40</f>
        <v>41.5</v>
      </c>
      <c r="AD40" s="10">
        <v>2.5</v>
      </c>
      <c r="AE40" s="10">
        <v>2.5</v>
      </c>
      <c r="AF40" s="10">
        <f t="shared" ref="AF40:AF77" si="28">AD40+AE40</f>
        <v>5</v>
      </c>
      <c r="AG40" s="11">
        <f t="shared" ref="AG40:AG77" si="29">AA40+AD40</f>
        <v>23.5</v>
      </c>
      <c r="AH40" s="11">
        <f t="shared" ref="AH40:AH77" si="30">AB40+AE40</f>
        <v>23</v>
      </c>
      <c r="AI40" s="11">
        <f t="shared" ref="AI40:AI77" si="31">AC40+AF40</f>
        <v>46.5</v>
      </c>
      <c r="AJ40" s="11" t="s">
        <v>42</v>
      </c>
      <c r="AK40" s="12">
        <v>0</v>
      </c>
      <c r="AL40" s="12">
        <v>0</v>
      </c>
      <c r="AM40" s="12">
        <f t="shared" ref="AM40:AM77" si="32">AK40+AL40</f>
        <v>0</v>
      </c>
      <c r="AN40" s="11">
        <f t="shared" ref="AN40:AN77" si="33">AI40+AM40</f>
        <v>46.5</v>
      </c>
    </row>
    <row r="41" spans="1:40" x14ac:dyDescent="0.2">
      <c r="A41" t="s">
        <v>135</v>
      </c>
      <c r="B41" t="s">
        <v>136</v>
      </c>
      <c r="C41" s="2">
        <v>2</v>
      </c>
      <c r="D41" s="2">
        <v>2</v>
      </c>
      <c r="E41" s="2">
        <f t="shared" si="17"/>
        <v>4</v>
      </c>
      <c r="F41" s="3">
        <v>3</v>
      </c>
      <c r="G41" s="3">
        <v>2.5</v>
      </c>
      <c r="H41" s="3">
        <f t="shared" si="18"/>
        <v>5.5</v>
      </c>
      <c r="I41" s="4">
        <v>4.5</v>
      </c>
      <c r="J41" s="4">
        <v>3.5</v>
      </c>
      <c r="K41" s="4">
        <f t="shared" si="19"/>
        <v>8</v>
      </c>
      <c r="L41" s="5">
        <v>2</v>
      </c>
      <c r="M41" s="5">
        <v>2.5</v>
      </c>
      <c r="N41" s="5">
        <f t="shared" si="20"/>
        <v>4.5</v>
      </c>
      <c r="O41" s="6">
        <v>3.5</v>
      </c>
      <c r="P41" s="6">
        <v>3.5</v>
      </c>
      <c r="Q41" s="6">
        <f t="shared" si="21"/>
        <v>7</v>
      </c>
      <c r="R41" s="7">
        <v>4</v>
      </c>
      <c r="S41" s="7">
        <v>3.5</v>
      </c>
      <c r="T41" s="7">
        <f t="shared" si="22"/>
        <v>7.5</v>
      </c>
      <c r="U41" s="8">
        <v>3</v>
      </c>
      <c r="V41" s="8">
        <v>1.5</v>
      </c>
      <c r="W41" s="8">
        <f t="shared" si="23"/>
        <v>4.5</v>
      </c>
      <c r="X41" s="9">
        <v>2</v>
      </c>
      <c r="Y41" s="9">
        <v>2.5</v>
      </c>
      <c r="Z41" s="9">
        <f t="shared" si="24"/>
        <v>4.5</v>
      </c>
      <c r="AA41" s="11">
        <f t="shared" si="25"/>
        <v>24</v>
      </c>
      <c r="AB41" s="11">
        <f t="shared" si="26"/>
        <v>21.5</v>
      </c>
      <c r="AC41" s="11">
        <f t="shared" si="27"/>
        <v>45.5</v>
      </c>
      <c r="AD41" s="10">
        <v>2</v>
      </c>
      <c r="AE41" s="10">
        <v>2</v>
      </c>
      <c r="AF41" s="10">
        <f t="shared" si="28"/>
        <v>4</v>
      </c>
      <c r="AG41" s="11">
        <f t="shared" si="29"/>
        <v>26</v>
      </c>
      <c r="AH41" s="11">
        <f t="shared" si="30"/>
        <v>23.5</v>
      </c>
      <c r="AI41" s="11">
        <f t="shared" si="31"/>
        <v>49.5</v>
      </c>
      <c r="AJ41" s="11" t="s">
        <v>45</v>
      </c>
      <c r="AK41" s="12">
        <v>0</v>
      </c>
      <c r="AL41" s="12">
        <v>0</v>
      </c>
      <c r="AM41" s="12">
        <f t="shared" si="32"/>
        <v>0</v>
      </c>
      <c r="AN41" s="11">
        <f t="shared" si="33"/>
        <v>49.5</v>
      </c>
    </row>
    <row r="42" spans="1:40" x14ac:dyDescent="0.2">
      <c r="A42" t="s">
        <v>121</v>
      </c>
      <c r="B42" t="s">
        <v>122</v>
      </c>
      <c r="C42" s="2">
        <v>2.5</v>
      </c>
      <c r="D42" s="2">
        <v>2</v>
      </c>
      <c r="E42" s="2">
        <f t="shared" si="17"/>
        <v>4.5</v>
      </c>
      <c r="F42" s="3">
        <v>2</v>
      </c>
      <c r="G42" s="3">
        <v>2.5</v>
      </c>
      <c r="H42" s="3">
        <f t="shared" si="18"/>
        <v>4.5</v>
      </c>
      <c r="I42" s="4">
        <v>2.5</v>
      </c>
      <c r="J42" s="4">
        <v>2.5</v>
      </c>
      <c r="K42" s="4">
        <f t="shared" si="19"/>
        <v>5</v>
      </c>
      <c r="L42" s="5">
        <v>2.5</v>
      </c>
      <c r="M42" s="5">
        <v>3</v>
      </c>
      <c r="N42" s="5">
        <f t="shared" si="20"/>
        <v>5.5</v>
      </c>
      <c r="O42" s="6">
        <v>3</v>
      </c>
      <c r="P42" s="6">
        <v>4</v>
      </c>
      <c r="Q42" s="6">
        <f t="shared" si="21"/>
        <v>7</v>
      </c>
      <c r="R42" s="7">
        <v>4</v>
      </c>
      <c r="S42" s="7">
        <v>3.5</v>
      </c>
      <c r="T42" s="7">
        <f t="shared" si="22"/>
        <v>7.5</v>
      </c>
      <c r="U42" s="8">
        <v>4</v>
      </c>
      <c r="V42" s="8">
        <v>4</v>
      </c>
      <c r="W42" s="8">
        <f t="shared" si="23"/>
        <v>8</v>
      </c>
      <c r="X42" s="9">
        <v>3.5</v>
      </c>
      <c r="Y42" s="9">
        <v>4</v>
      </c>
      <c r="Z42" s="9">
        <f t="shared" si="24"/>
        <v>7.5</v>
      </c>
      <c r="AA42" s="11">
        <f t="shared" si="25"/>
        <v>24</v>
      </c>
      <c r="AB42" s="11">
        <f t="shared" si="26"/>
        <v>25.5</v>
      </c>
      <c r="AC42" s="11">
        <f t="shared" si="27"/>
        <v>49.5</v>
      </c>
      <c r="AD42" s="10">
        <v>1</v>
      </c>
      <c r="AE42" s="10">
        <v>1</v>
      </c>
      <c r="AF42" s="10">
        <f t="shared" si="28"/>
        <v>2</v>
      </c>
      <c r="AG42" s="11">
        <f t="shared" si="29"/>
        <v>25</v>
      </c>
      <c r="AH42" s="11">
        <f t="shared" si="30"/>
        <v>26.5</v>
      </c>
      <c r="AI42" s="11">
        <f t="shared" si="31"/>
        <v>51.5</v>
      </c>
      <c r="AJ42" s="11" t="s">
        <v>45</v>
      </c>
      <c r="AK42" s="12">
        <v>0</v>
      </c>
      <c r="AL42" s="12">
        <v>0</v>
      </c>
      <c r="AM42" s="12">
        <f t="shared" si="32"/>
        <v>0</v>
      </c>
      <c r="AN42" s="11">
        <f t="shared" si="33"/>
        <v>51.5</v>
      </c>
    </row>
    <row r="43" spans="1:40" x14ac:dyDescent="0.2">
      <c r="A43" t="s">
        <v>117</v>
      </c>
      <c r="B43" t="s">
        <v>118</v>
      </c>
      <c r="C43" s="2">
        <v>2</v>
      </c>
      <c r="D43" s="2">
        <v>2</v>
      </c>
      <c r="E43" s="2">
        <f t="shared" si="17"/>
        <v>4</v>
      </c>
      <c r="F43" s="3">
        <v>1.5</v>
      </c>
      <c r="G43" s="3">
        <v>1.5</v>
      </c>
      <c r="H43" s="3">
        <f t="shared" si="18"/>
        <v>3</v>
      </c>
      <c r="I43" s="4">
        <v>3.5</v>
      </c>
      <c r="J43" s="4">
        <v>3.5</v>
      </c>
      <c r="K43" s="4">
        <f t="shared" si="19"/>
        <v>7</v>
      </c>
      <c r="L43" s="5">
        <v>2</v>
      </c>
      <c r="M43" s="5">
        <v>3</v>
      </c>
      <c r="N43" s="5">
        <f t="shared" si="20"/>
        <v>5</v>
      </c>
      <c r="O43" s="6">
        <v>3</v>
      </c>
      <c r="P43" s="6">
        <v>3</v>
      </c>
      <c r="Q43" s="6">
        <f t="shared" si="21"/>
        <v>6</v>
      </c>
      <c r="R43" s="7">
        <v>3.5</v>
      </c>
      <c r="S43" s="7">
        <v>3.5</v>
      </c>
      <c r="T43" s="7">
        <f t="shared" si="22"/>
        <v>7</v>
      </c>
      <c r="U43" s="8">
        <v>3.5</v>
      </c>
      <c r="V43" s="8">
        <v>3</v>
      </c>
      <c r="W43" s="8">
        <f t="shared" si="23"/>
        <v>6.5</v>
      </c>
      <c r="X43" s="9">
        <v>4</v>
      </c>
      <c r="Y43" s="9">
        <v>3.5</v>
      </c>
      <c r="Z43" s="9">
        <f t="shared" si="24"/>
        <v>7.5</v>
      </c>
      <c r="AA43" s="11">
        <f t="shared" si="25"/>
        <v>23</v>
      </c>
      <c r="AB43" s="11">
        <f t="shared" si="26"/>
        <v>23</v>
      </c>
      <c r="AC43" s="11">
        <f t="shared" si="27"/>
        <v>46</v>
      </c>
      <c r="AD43" s="10">
        <v>2</v>
      </c>
      <c r="AE43" s="10">
        <v>4</v>
      </c>
      <c r="AF43" s="10">
        <f t="shared" si="28"/>
        <v>6</v>
      </c>
      <c r="AG43" s="11">
        <f t="shared" si="29"/>
        <v>25</v>
      </c>
      <c r="AH43" s="11">
        <f t="shared" si="30"/>
        <v>27</v>
      </c>
      <c r="AI43" s="11">
        <f t="shared" si="31"/>
        <v>52</v>
      </c>
      <c r="AJ43" s="11" t="s">
        <v>45</v>
      </c>
      <c r="AK43" s="12">
        <v>0</v>
      </c>
      <c r="AL43" s="12">
        <v>0</v>
      </c>
      <c r="AM43" s="12">
        <f t="shared" si="32"/>
        <v>0</v>
      </c>
      <c r="AN43" s="11">
        <f t="shared" si="33"/>
        <v>52</v>
      </c>
    </row>
    <row r="44" spans="1:40" x14ac:dyDescent="0.2">
      <c r="A44" t="s">
        <v>169</v>
      </c>
      <c r="B44" t="s">
        <v>184</v>
      </c>
      <c r="C44" s="2">
        <v>1.5</v>
      </c>
      <c r="D44" s="2">
        <v>1.5</v>
      </c>
      <c r="E44" s="2">
        <f t="shared" si="17"/>
        <v>3</v>
      </c>
      <c r="F44" s="3">
        <v>1</v>
      </c>
      <c r="G44" s="3">
        <v>1</v>
      </c>
      <c r="H44" s="3">
        <f t="shared" si="18"/>
        <v>2</v>
      </c>
      <c r="I44" s="4">
        <v>2</v>
      </c>
      <c r="J44" s="4">
        <v>2</v>
      </c>
      <c r="K44" s="4">
        <f t="shared" si="19"/>
        <v>4</v>
      </c>
      <c r="L44" s="5">
        <v>4</v>
      </c>
      <c r="M44" s="5">
        <v>4</v>
      </c>
      <c r="N44" s="5">
        <f t="shared" si="20"/>
        <v>8</v>
      </c>
      <c r="O44" s="6">
        <v>3</v>
      </c>
      <c r="P44" s="6">
        <v>3</v>
      </c>
      <c r="Q44" s="6">
        <f t="shared" si="21"/>
        <v>6</v>
      </c>
      <c r="R44" s="7">
        <v>2.5</v>
      </c>
      <c r="S44" s="7">
        <v>2.5</v>
      </c>
      <c r="T44" s="7">
        <f t="shared" si="22"/>
        <v>5</v>
      </c>
      <c r="U44" s="8">
        <v>3</v>
      </c>
      <c r="V44" s="8">
        <v>3</v>
      </c>
      <c r="W44" s="8">
        <f t="shared" si="23"/>
        <v>6</v>
      </c>
      <c r="X44" s="9">
        <v>4</v>
      </c>
      <c r="Y44" s="9">
        <v>3.5</v>
      </c>
      <c r="Z44" s="9">
        <f t="shared" si="24"/>
        <v>7.5</v>
      </c>
      <c r="AA44" s="11">
        <f t="shared" si="25"/>
        <v>21</v>
      </c>
      <c r="AB44" s="11">
        <f t="shared" si="26"/>
        <v>20.5</v>
      </c>
      <c r="AC44" s="11">
        <f t="shared" si="27"/>
        <v>41.5</v>
      </c>
      <c r="AD44" s="10">
        <v>1.5</v>
      </c>
      <c r="AE44" s="10">
        <v>1</v>
      </c>
      <c r="AF44" s="10">
        <f t="shared" si="28"/>
        <v>2.5</v>
      </c>
      <c r="AG44" s="11">
        <f t="shared" si="29"/>
        <v>22.5</v>
      </c>
      <c r="AH44" s="11">
        <f t="shared" si="30"/>
        <v>21.5</v>
      </c>
      <c r="AI44" s="11">
        <f t="shared" si="31"/>
        <v>44</v>
      </c>
      <c r="AJ44" s="11" t="s">
        <v>42</v>
      </c>
      <c r="AK44" s="12">
        <v>2.5</v>
      </c>
      <c r="AL44" s="12">
        <v>2.5</v>
      </c>
      <c r="AM44" s="12">
        <f t="shared" si="32"/>
        <v>5</v>
      </c>
      <c r="AN44" s="11">
        <f t="shared" si="33"/>
        <v>49</v>
      </c>
    </row>
    <row r="45" spans="1:40" x14ac:dyDescent="0.2">
      <c r="A45" t="s">
        <v>119</v>
      </c>
      <c r="B45" t="s">
        <v>120</v>
      </c>
      <c r="C45" s="2">
        <v>4</v>
      </c>
      <c r="D45" s="2">
        <v>3.5</v>
      </c>
      <c r="E45" s="2">
        <f t="shared" si="17"/>
        <v>7.5</v>
      </c>
      <c r="F45" s="3">
        <v>2</v>
      </c>
      <c r="G45" s="3">
        <v>2</v>
      </c>
      <c r="H45" s="3">
        <f t="shared" si="18"/>
        <v>4</v>
      </c>
      <c r="I45" s="4">
        <v>3</v>
      </c>
      <c r="J45" s="4">
        <v>3</v>
      </c>
      <c r="K45" s="4">
        <f t="shared" si="19"/>
        <v>6</v>
      </c>
      <c r="L45" s="5">
        <v>2</v>
      </c>
      <c r="M45" s="5">
        <v>2</v>
      </c>
      <c r="N45" s="5">
        <f t="shared" si="20"/>
        <v>4</v>
      </c>
      <c r="O45" s="6">
        <v>4</v>
      </c>
      <c r="P45" s="6">
        <v>3.5</v>
      </c>
      <c r="Q45" s="6">
        <f t="shared" si="21"/>
        <v>7.5</v>
      </c>
      <c r="R45" s="7">
        <v>3</v>
      </c>
      <c r="S45" s="7">
        <v>4</v>
      </c>
      <c r="T45" s="7">
        <f t="shared" si="22"/>
        <v>7</v>
      </c>
      <c r="U45" s="8">
        <v>3</v>
      </c>
      <c r="V45" s="8">
        <v>3</v>
      </c>
      <c r="W45" s="8">
        <f t="shared" si="23"/>
        <v>6</v>
      </c>
      <c r="X45" s="9">
        <v>2</v>
      </c>
      <c r="Y45" s="9">
        <v>2.5</v>
      </c>
      <c r="Z45" s="9">
        <f t="shared" si="24"/>
        <v>4.5</v>
      </c>
      <c r="AA45" s="11">
        <f t="shared" si="25"/>
        <v>23</v>
      </c>
      <c r="AB45" s="11">
        <f t="shared" si="26"/>
        <v>23.5</v>
      </c>
      <c r="AC45" s="11">
        <f t="shared" si="27"/>
        <v>46.5</v>
      </c>
      <c r="AD45" s="10">
        <v>2.5</v>
      </c>
      <c r="AE45" s="10">
        <v>3</v>
      </c>
      <c r="AF45" s="10">
        <f t="shared" si="28"/>
        <v>5.5</v>
      </c>
      <c r="AG45" s="11">
        <f t="shared" si="29"/>
        <v>25.5</v>
      </c>
      <c r="AH45" s="11">
        <f t="shared" si="30"/>
        <v>26.5</v>
      </c>
      <c r="AI45" s="11">
        <f t="shared" si="31"/>
        <v>52</v>
      </c>
      <c r="AJ45" s="11" t="s">
        <v>42</v>
      </c>
      <c r="AK45" s="12">
        <v>3.5</v>
      </c>
      <c r="AL45" s="12">
        <v>3</v>
      </c>
      <c r="AM45" s="12">
        <f t="shared" si="32"/>
        <v>6.5</v>
      </c>
      <c r="AN45" s="11">
        <f t="shared" si="33"/>
        <v>58.5</v>
      </c>
    </row>
    <row r="46" spans="1:40" x14ac:dyDescent="0.2">
      <c r="A46" t="s">
        <v>76</v>
      </c>
      <c r="B46" t="s">
        <v>77</v>
      </c>
      <c r="C46" s="2">
        <v>3.5</v>
      </c>
      <c r="D46" s="2">
        <v>3.5</v>
      </c>
      <c r="E46" s="2">
        <f t="shared" si="17"/>
        <v>7</v>
      </c>
      <c r="F46" s="3">
        <v>3</v>
      </c>
      <c r="G46" s="3">
        <v>3</v>
      </c>
      <c r="H46" s="3">
        <f t="shared" si="18"/>
        <v>6</v>
      </c>
      <c r="I46" s="4">
        <v>4</v>
      </c>
      <c r="J46" s="4">
        <v>4</v>
      </c>
      <c r="K46" s="4">
        <f t="shared" si="19"/>
        <v>8</v>
      </c>
      <c r="L46" s="5">
        <v>2.5</v>
      </c>
      <c r="M46" s="5">
        <v>2.5</v>
      </c>
      <c r="N46" s="5">
        <f t="shared" si="20"/>
        <v>5</v>
      </c>
      <c r="O46" s="6">
        <v>3</v>
      </c>
      <c r="P46" s="6">
        <v>3</v>
      </c>
      <c r="Q46" s="6">
        <f t="shared" si="21"/>
        <v>6</v>
      </c>
      <c r="R46" s="7">
        <v>3</v>
      </c>
      <c r="S46" s="7">
        <v>2.5</v>
      </c>
      <c r="T46" s="7">
        <f t="shared" si="22"/>
        <v>5.5</v>
      </c>
      <c r="U46" s="8">
        <v>3</v>
      </c>
      <c r="V46" s="8">
        <v>3</v>
      </c>
      <c r="W46" s="8">
        <f t="shared" si="23"/>
        <v>6</v>
      </c>
      <c r="X46" s="9">
        <v>3</v>
      </c>
      <c r="Y46" s="9">
        <v>3</v>
      </c>
      <c r="Z46" s="9">
        <f t="shared" si="24"/>
        <v>6</v>
      </c>
      <c r="AA46" s="11">
        <f t="shared" si="25"/>
        <v>25</v>
      </c>
      <c r="AB46" s="11">
        <f t="shared" si="26"/>
        <v>24.5</v>
      </c>
      <c r="AC46" s="11">
        <f t="shared" si="27"/>
        <v>49.5</v>
      </c>
      <c r="AD46" s="10">
        <v>4.5</v>
      </c>
      <c r="AE46" s="10">
        <v>4</v>
      </c>
      <c r="AF46" s="10">
        <f t="shared" si="28"/>
        <v>8.5</v>
      </c>
      <c r="AG46" s="11">
        <f t="shared" si="29"/>
        <v>29.5</v>
      </c>
      <c r="AH46" s="11">
        <f t="shared" si="30"/>
        <v>28.5</v>
      </c>
      <c r="AI46" s="11">
        <f t="shared" si="31"/>
        <v>58</v>
      </c>
      <c r="AJ46" s="11" t="s">
        <v>45</v>
      </c>
      <c r="AK46" s="12">
        <v>0</v>
      </c>
      <c r="AL46" s="12">
        <v>0</v>
      </c>
      <c r="AM46" s="12">
        <f t="shared" si="32"/>
        <v>0</v>
      </c>
      <c r="AN46" s="11">
        <f t="shared" si="33"/>
        <v>58</v>
      </c>
    </row>
    <row r="47" spans="1:40" x14ac:dyDescent="0.2">
      <c r="A47" t="s">
        <v>127</v>
      </c>
      <c r="B47" t="s">
        <v>128</v>
      </c>
      <c r="C47" s="2">
        <v>3.5</v>
      </c>
      <c r="D47" s="2">
        <v>3.5</v>
      </c>
      <c r="E47" s="2">
        <f t="shared" si="17"/>
        <v>7</v>
      </c>
      <c r="F47" s="3">
        <v>2</v>
      </c>
      <c r="G47" s="3">
        <v>2</v>
      </c>
      <c r="H47" s="3">
        <f t="shared" si="18"/>
        <v>4</v>
      </c>
      <c r="I47" s="4">
        <v>2.5</v>
      </c>
      <c r="J47" s="4">
        <v>2.5</v>
      </c>
      <c r="K47" s="4">
        <f t="shared" si="19"/>
        <v>5</v>
      </c>
      <c r="L47" s="5">
        <v>3.5</v>
      </c>
      <c r="M47" s="5">
        <v>3</v>
      </c>
      <c r="N47" s="5">
        <f t="shared" si="20"/>
        <v>6.5</v>
      </c>
      <c r="O47" s="6">
        <v>3.5</v>
      </c>
      <c r="P47" s="6">
        <v>3.5</v>
      </c>
      <c r="Q47" s="6">
        <f t="shared" si="21"/>
        <v>7</v>
      </c>
      <c r="R47" s="7">
        <v>3</v>
      </c>
      <c r="S47" s="7">
        <v>2.5</v>
      </c>
      <c r="T47" s="7">
        <f t="shared" si="22"/>
        <v>5.5</v>
      </c>
      <c r="U47" s="8">
        <v>2.5</v>
      </c>
      <c r="V47" s="8">
        <v>2.5</v>
      </c>
      <c r="W47" s="8">
        <f t="shared" si="23"/>
        <v>5</v>
      </c>
      <c r="X47" s="9">
        <v>4</v>
      </c>
      <c r="Y47" s="9">
        <v>4</v>
      </c>
      <c r="Z47" s="9">
        <f t="shared" si="24"/>
        <v>8</v>
      </c>
      <c r="AA47" s="11">
        <f t="shared" si="25"/>
        <v>24.5</v>
      </c>
      <c r="AB47" s="11">
        <f t="shared" si="26"/>
        <v>23.5</v>
      </c>
      <c r="AC47" s="11">
        <f t="shared" si="27"/>
        <v>48</v>
      </c>
      <c r="AD47" s="10">
        <v>1.5</v>
      </c>
      <c r="AE47" s="10">
        <v>1.5</v>
      </c>
      <c r="AF47" s="10">
        <f t="shared" si="28"/>
        <v>3</v>
      </c>
      <c r="AG47" s="11">
        <f t="shared" si="29"/>
        <v>26</v>
      </c>
      <c r="AH47" s="11">
        <f t="shared" si="30"/>
        <v>25</v>
      </c>
      <c r="AI47" s="11">
        <f t="shared" si="31"/>
        <v>51</v>
      </c>
      <c r="AJ47" s="11" t="s">
        <v>42</v>
      </c>
      <c r="AK47" s="12">
        <v>0</v>
      </c>
      <c r="AL47" s="12">
        <v>0</v>
      </c>
      <c r="AM47" s="12">
        <f t="shared" si="32"/>
        <v>0</v>
      </c>
      <c r="AN47" s="11">
        <f t="shared" si="33"/>
        <v>51</v>
      </c>
    </row>
    <row r="48" spans="1:40" x14ac:dyDescent="0.2">
      <c r="A48" t="s">
        <v>159</v>
      </c>
      <c r="B48" t="s">
        <v>162</v>
      </c>
      <c r="C48" s="2">
        <v>3</v>
      </c>
      <c r="D48" s="2">
        <v>3</v>
      </c>
      <c r="E48" s="2">
        <f t="shared" si="17"/>
        <v>6</v>
      </c>
      <c r="F48" s="3">
        <v>3</v>
      </c>
      <c r="G48" s="3">
        <v>2.5</v>
      </c>
      <c r="H48" s="3">
        <f t="shared" si="18"/>
        <v>5.5</v>
      </c>
      <c r="I48" s="4">
        <v>2</v>
      </c>
      <c r="J48" s="4">
        <v>1.5</v>
      </c>
      <c r="K48" s="4">
        <f t="shared" si="19"/>
        <v>3.5</v>
      </c>
      <c r="L48" s="5">
        <v>3</v>
      </c>
      <c r="M48" s="5">
        <v>3.5</v>
      </c>
      <c r="N48" s="5">
        <f t="shared" si="20"/>
        <v>6.5</v>
      </c>
      <c r="O48" s="6">
        <v>2.5</v>
      </c>
      <c r="P48" s="6">
        <v>1.5</v>
      </c>
      <c r="Q48" s="6">
        <f t="shared" si="21"/>
        <v>4</v>
      </c>
      <c r="R48" s="7">
        <v>4</v>
      </c>
      <c r="S48" s="7">
        <v>4</v>
      </c>
      <c r="T48" s="7">
        <f t="shared" si="22"/>
        <v>8</v>
      </c>
      <c r="U48" s="8">
        <v>3</v>
      </c>
      <c r="V48" s="8">
        <v>2</v>
      </c>
      <c r="W48" s="8">
        <f t="shared" si="23"/>
        <v>5</v>
      </c>
      <c r="X48" s="9">
        <v>3.5</v>
      </c>
      <c r="Y48" s="9">
        <v>2.5</v>
      </c>
      <c r="Z48" s="9">
        <f t="shared" si="24"/>
        <v>6</v>
      </c>
      <c r="AA48" s="11">
        <f t="shared" si="25"/>
        <v>24</v>
      </c>
      <c r="AB48" s="11">
        <f t="shared" si="26"/>
        <v>20.5</v>
      </c>
      <c r="AC48" s="11">
        <f t="shared" si="27"/>
        <v>44.5</v>
      </c>
      <c r="AD48" s="10">
        <v>3.5</v>
      </c>
      <c r="AE48" s="10">
        <v>3.5</v>
      </c>
      <c r="AF48" s="10">
        <f t="shared" si="28"/>
        <v>7</v>
      </c>
      <c r="AG48" s="11">
        <f t="shared" si="29"/>
        <v>27.5</v>
      </c>
      <c r="AH48" s="11">
        <f t="shared" si="30"/>
        <v>24</v>
      </c>
      <c r="AI48" s="11">
        <f t="shared" si="31"/>
        <v>51.5</v>
      </c>
      <c r="AJ48" s="11" t="s">
        <v>42</v>
      </c>
      <c r="AK48" s="12">
        <v>0</v>
      </c>
      <c r="AL48" s="12">
        <v>0</v>
      </c>
      <c r="AM48" s="12">
        <f t="shared" si="32"/>
        <v>0</v>
      </c>
      <c r="AN48" s="11">
        <f t="shared" si="33"/>
        <v>51.5</v>
      </c>
    </row>
    <row r="49" spans="1:40" x14ac:dyDescent="0.2">
      <c r="A49" t="s">
        <v>56</v>
      </c>
      <c r="B49" t="s">
        <v>57</v>
      </c>
      <c r="C49" s="2">
        <v>3.5</v>
      </c>
      <c r="D49" s="2">
        <v>3.5</v>
      </c>
      <c r="E49" s="2">
        <f t="shared" si="17"/>
        <v>7</v>
      </c>
      <c r="F49" s="3">
        <v>3</v>
      </c>
      <c r="G49" s="3">
        <v>3</v>
      </c>
      <c r="H49" s="3">
        <f t="shared" si="18"/>
        <v>6</v>
      </c>
      <c r="I49" s="4">
        <v>4</v>
      </c>
      <c r="J49" s="4">
        <v>3.5</v>
      </c>
      <c r="K49" s="4">
        <f t="shared" si="19"/>
        <v>7.5</v>
      </c>
      <c r="L49" s="5">
        <v>3</v>
      </c>
      <c r="M49" s="5">
        <v>3.5</v>
      </c>
      <c r="N49" s="5">
        <f t="shared" si="20"/>
        <v>6.5</v>
      </c>
      <c r="O49" s="6">
        <v>3.5</v>
      </c>
      <c r="P49" s="6">
        <v>3</v>
      </c>
      <c r="Q49" s="6">
        <f t="shared" si="21"/>
        <v>6.5</v>
      </c>
      <c r="R49" s="7">
        <v>3.5</v>
      </c>
      <c r="S49" s="7">
        <v>3.5</v>
      </c>
      <c r="T49" s="7">
        <f t="shared" si="22"/>
        <v>7</v>
      </c>
      <c r="U49" s="8">
        <v>4</v>
      </c>
      <c r="V49" s="8">
        <v>4</v>
      </c>
      <c r="W49" s="8">
        <f t="shared" si="23"/>
        <v>8</v>
      </c>
      <c r="X49" s="9">
        <v>3.5</v>
      </c>
      <c r="Y49" s="9">
        <v>3</v>
      </c>
      <c r="Z49" s="9">
        <f t="shared" si="24"/>
        <v>6.5</v>
      </c>
      <c r="AA49" s="11">
        <f t="shared" si="25"/>
        <v>28</v>
      </c>
      <c r="AB49" s="11">
        <f t="shared" si="26"/>
        <v>27</v>
      </c>
      <c r="AC49" s="11">
        <f t="shared" si="27"/>
        <v>55</v>
      </c>
      <c r="AD49" s="10">
        <v>3</v>
      </c>
      <c r="AE49" s="10">
        <v>3</v>
      </c>
      <c r="AF49" s="10">
        <f t="shared" si="28"/>
        <v>6</v>
      </c>
      <c r="AG49" s="11">
        <f t="shared" si="29"/>
        <v>31</v>
      </c>
      <c r="AH49" s="11">
        <f t="shared" si="30"/>
        <v>30</v>
      </c>
      <c r="AI49" s="11">
        <f t="shared" si="31"/>
        <v>61</v>
      </c>
      <c r="AJ49" s="11" t="s">
        <v>42</v>
      </c>
      <c r="AK49" s="12">
        <v>0</v>
      </c>
      <c r="AL49" s="12">
        <v>0</v>
      </c>
      <c r="AM49" s="12">
        <f t="shared" si="32"/>
        <v>0</v>
      </c>
      <c r="AN49" s="11">
        <f t="shared" si="33"/>
        <v>61</v>
      </c>
    </row>
    <row r="50" spans="1:40" x14ac:dyDescent="0.2">
      <c r="A50" t="s">
        <v>72</v>
      </c>
      <c r="B50" t="s">
        <v>73</v>
      </c>
      <c r="C50" s="2">
        <v>3.5</v>
      </c>
      <c r="D50" s="2">
        <v>3.5</v>
      </c>
      <c r="E50" s="2">
        <f t="shared" si="17"/>
        <v>7</v>
      </c>
      <c r="F50" s="3">
        <v>3</v>
      </c>
      <c r="G50" s="3">
        <v>3</v>
      </c>
      <c r="H50" s="3">
        <f t="shared" si="18"/>
        <v>6</v>
      </c>
      <c r="I50" s="4">
        <v>3.5</v>
      </c>
      <c r="J50" s="4">
        <v>3</v>
      </c>
      <c r="K50" s="4">
        <f t="shared" si="19"/>
        <v>6.5</v>
      </c>
      <c r="L50" s="5">
        <v>1</v>
      </c>
      <c r="M50" s="5">
        <v>2</v>
      </c>
      <c r="N50" s="5">
        <f t="shared" si="20"/>
        <v>3</v>
      </c>
      <c r="O50" s="6">
        <v>5</v>
      </c>
      <c r="P50" s="6">
        <v>5</v>
      </c>
      <c r="Q50" s="6">
        <f t="shared" si="21"/>
        <v>10</v>
      </c>
      <c r="R50" s="7">
        <v>3.5</v>
      </c>
      <c r="S50" s="7">
        <v>3.5</v>
      </c>
      <c r="T50" s="7">
        <f t="shared" si="22"/>
        <v>7</v>
      </c>
      <c r="U50" s="8">
        <v>3.5</v>
      </c>
      <c r="V50" s="8">
        <v>4</v>
      </c>
      <c r="W50" s="8">
        <f t="shared" si="23"/>
        <v>7.5</v>
      </c>
      <c r="X50" s="9">
        <v>2.5</v>
      </c>
      <c r="Y50" s="9">
        <v>3.5</v>
      </c>
      <c r="Z50" s="9">
        <f t="shared" si="24"/>
        <v>6</v>
      </c>
      <c r="AA50" s="11">
        <f t="shared" si="25"/>
        <v>25.5</v>
      </c>
      <c r="AB50" s="11">
        <f t="shared" si="26"/>
        <v>27.5</v>
      </c>
      <c r="AC50" s="11">
        <f t="shared" si="27"/>
        <v>53</v>
      </c>
      <c r="AD50" s="10">
        <v>2.5</v>
      </c>
      <c r="AE50" s="10">
        <v>3</v>
      </c>
      <c r="AF50" s="10">
        <f t="shared" si="28"/>
        <v>5.5</v>
      </c>
      <c r="AG50" s="11">
        <f t="shared" si="29"/>
        <v>28</v>
      </c>
      <c r="AH50" s="11">
        <f t="shared" si="30"/>
        <v>30.5</v>
      </c>
      <c r="AI50" s="11">
        <f t="shared" si="31"/>
        <v>58.5</v>
      </c>
      <c r="AJ50" s="11" t="s">
        <v>42</v>
      </c>
      <c r="AK50" s="12">
        <v>3.5</v>
      </c>
      <c r="AL50" s="12">
        <v>3.5</v>
      </c>
      <c r="AM50" s="12">
        <f t="shared" si="32"/>
        <v>7</v>
      </c>
      <c r="AN50" s="11">
        <f t="shared" si="33"/>
        <v>65.5</v>
      </c>
    </row>
    <row r="51" spans="1:40" x14ac:dyDescent="0.2">
      <c r="A51" t="s">
        <v>74</v>
      </c>
      <c r="B51" t="s">
        <v>75</v>
      </c>
      <c r="C51" s="2">
        <v>2</v>
      </c>
      <c r="D51" s="2">
        <v>1</v>
      </c>
      <c r="E51" s="2">
        <f t="shared" si="17"/>
        <v>3</v>
      </c>
      <c r="F51" s="3">
        <v>3.5</v>
      </c>
      <c r="G51" s="3">
        <v>3.5</v>
      </c>
      <c r="H51" s="3">
        <f t="shared" si="18"/>
        <v>7</v>
      </c>
      <c r="I51" s="4">
        <v>4</v>
      </c>
      <c r="J51" s="4">
        <v>4</v>
      </c>
      <c r="K51" s="4">
        <f t="shared" si="19"/>
        <v>8</v>
      </c>
      <c r="L51" s="5">
        <v>3.5</v>
      </c>
      <c r="M51" s="5">
        <v>3.5</v>
      </c>
      <c r="N51" s="5">
        <f t="shared" si="20"/>
        <v>7</v>
      </c>
      <c r="O51" s="6">
        <v>3.5</v>
      </c>
      <c r="P51" s="6">
        <v>4</v>
      </c>
      <c r="Q51" s="6">
        <f t="shared" si="21"/>
        <v>7.5</v>
      </c>
      <c r="R51" s="7">
        <v>4</v>
      </c>
      <c r="S51" s="7">
        <v>3</v>
      </c>
      <c r="T51" s="7">
        <f t="shared" si="22"/>
        <v>7</v>
      </c>
      <c r="U51" s="8">
        <v>4.5</v>
      </c>
      <c r="V51" s="8">
        <v>4</v>
      </c>
      <c r="W51" s="8">
        <f t="shared" si="23"/>
        <v>8.5</v>
      </c>
      <c r="X51" s="9">
        <v>4</v>
      </c>
      <c r="Y51" s="9">
        <v>4.5</v>
      </c>
      <c r="Z51" s="9">
        <f t="shared" si="24"/>
        <v>8.5</v>
      </c>
      <c r="AA51" s="11">
        <f t="shared" si="25"/>
        <v>29</v>
      </c>
      <c r="AB51" s="11">
        <f t="shared" si="26"/>
        <v>27.5</v>
      </c>
      <c r="AC51" s="11">
        <f t="shared" si="27"/>
        <v>56.5</v>
      </c>
      <c r="AD51" s="10">
        <v>1</v>
      </c>
      <c r="AE51" s="10">
        <v>1</v>
      </c>
      <c r="AF51" s="10">
        <f t="shared" si="28"/>
        <v>2</v>
      </c>
      <c r="AG51" s="11">
        <f t="shared" si="29"/>
        <v>30</v>
      </c>
      <c r="AH51" s="11">
        <f t="shared" si="30"/>
        <v>28.5</v>
      </c>
      <c r="AI51" s="11">
        <f t="shared" si="31"/>
        <v>58.5</v>
      </c>
      <c r="AJ51" s="11" t="s">
        <v>45</v>
      </c>
      <c r="AK51" s="12">
        <v>0</v>
      </c>
      <c r="AL51" s="12">
        <v>0</v>
      </c>
      <c r="AM51" s="12">
        <f t="shared" si="32"/>
        <v>0</v>
      </c>
      <c r="AN51" s="11">
        <f t="shared" si="33"/>
        <v>58.5</v>
      </c>
    </row>
    <row r="52" spans="1:40" x14ac:dyDescent="0.2">
      <c r="A52" t="s">
        <v>102</v>
      </c>
      <c r="B52" t="s">
        <v>103</v>
      </c>
      <c r="C52" s="2">
        <v>3</v>
      </c>
      <c r="D52" s="2">
        <v>3</v>
      </c>
      <c r="E52" s="2">
        <f t="shared" si="17"/>
        <v>6</v>
      </c>
      <c r="F52" s="3">
        <v>3</v>
      </c>
      <c r="G52" s="3">
        <v>3</v>
      </c>
      <c r="H52" s="3">
        <f t="shared" si="18"/>
        <v>6</v>
      </c>
      <c r="I52" s="4">
        <v>3</v>
      </c>
      <c r="J52" s="4">
        <v>2</v>
      </c>
      <c r="K52" s="4">
        <f t="shared" si="19"/>
        <v>5</v>
      </c>
      <c r="L52" s="5">
        <v>3</v>
      </c>
      <c r="M52" s="5">
        <v>3</v>
      </c>
      <c r="N52" s="5">
        <f t="shared" si="20"/>
        <v>6</v>
      </c>
      <c r="O52" s="6">
        <v>3</v>
      </c>
      <c r="P52" s="6">
        <v>3.5</v>
      </c>
      <c r="Q52" s="6">
        <f t="shared" si="21"/>
        <v>6.5</v>
      </c>
      <c r="R52" s="7">
        <v>3.5</v>
      </c>
      <c r="S52" s="7">
        <v>3.5</v>
      </c>
      <c r="T52" s="7">
        <f t="shared" si="22"/>
        <v>7</v>
      </c>
      <c r="U52" s="8">
        <v>3</v>
      </c>
      <c r="V52" s="8">
        <v>3</v>
      </c>
      <c r="W52" s="8">
        <f t="shared" si="23"/>
        <v>6</v>
      </c>
      <c r="X52" s="9">
        <v>4</v>
      </c>
      <c r="Y52" s="9">
        <v>4</v>
      </c>
      <c r="Z52" s="9">
        <f t="shared" si="24"/>
        <v>8</v>
      </c>
      <c r="AA52" s="11">
        <f t="shared" si="25"/>
        <v>25.5</v>
      </c>
      <c r="AB52" s="11">
        <f t="shared" si="26"/>
        <v>25</v>
      </c>
      <c r="AC52" s="11">
        <f t="shared" si="27"/>
        <v>50.5</v>
      </c>
      <c r="AD52" s="10">
        <v>2</v>
      </c>
      <c r="AE52" s="10">
        <v>2</v>
      </c>
      <c r="AF52" s="10">
        <f t="shared" si="28"/>
        <v>4</v>
      </c>
      <c r="AG52" s="11">
        <f t="shared" si="29"/>
        <v>27.5</v>
      </c>
      <c r="AH52" s="11">
        <f t="shared" si="30"/>
        <v>27</v>
      </c>
      <c r="AI52" s="11">
        <f t="shared" si="31"/>
        <v>54.5</v>
      </c>
      <c r="AJ52" s="11" t="s">
        <v>42</v>
      </c>
      <c r="AK52" s="12">
        <v>3.5</v>
      </c>
      <c r="AL52" s="12">
        <v>3.5</v>
      </c>
      <c r="AM52" s="12">
        <f t="shared" si="32"/>
        <v>7</v>
      </c>
      <c r="AN52" s="11">
        <f t="shared" si="33"/>
        <v>61.5</v>
      </c>
    </row>
    <row r="53" spans="1:40" x14ac:dyDescent="0.2">
      <c r="A53" t="s">
        <v>110</v>
      </c>
      <c r="B53" t="s">
        <v>111</v>
      </c>
      <c r="C53" s="2">
        <v>2.5</v>
      </c>
      <c r="D53" s="2">
        <v>2</v>
      </c>
      <c r="E53" s="2">
        <f t="shared" si="17"/>
        <v>4.5</v>
      </c>
      <c r="F53" s="3">
        <v>2</v>
      </c>
      <c r="G53" s="3">
        <v>1.5</v>
      </c>
      <c r="H53" s="3">
        <f t="shared" si="18"/>
        <v>3.5</v>
      </c>
      <c r="I53" s="4">
        <v>3</v>
      </c>
      <c r="J53" s="4">
        <v>2.5</v>
      </c>
      <c r="K53" s="4">
        <f t="shared" si="19"/>
        <v>5.5</v>
      </c>
      <c r="L53" s="5">
        <v>3.5</v>
      </c>
      <c r="M53" s="5">
        <v>3.5</v>
      </c>
      <c r="N53" s="5">
        <f t="shared" si="20"/>
        <v>7</v>
      </c>
      <c r="O53" s="6">
        <v>2</v>
      </c>
      <c r="P53" s="6">
        <v>2.5</v>
      </c>
      <c r="Q53" s="6">
        <f t="shared" si="21"/>
        <v>4.5</v>
      </c>
      <c r="R53" s="7">
        <v>4.5</v>
      </c>
      <c r="S53" s="7">
        <v>4</v>
      </c>
      <c r="T53" s="7">
        <f t="shared" si="22"/>
        <v>8.5</v>
      </c>
      <c r="U53" s="8">
        <v>3</v>
      </c>
      <c r="V53" s="8">
        <v>4</v>
      </c>
      <c r="W53" s="8">
        <f t="shared" si="23"/>
        <v>7</v>
      </c>
      <c r="X53" s="9">
        <v>3</v>
      </c>
      <c r="Y53" s="9">
        <v>3</v>
      </c>
      <c r="Z53" s="9">
        <f t="shared" si="24"/>
        <v>6</v>
      </c>
      <c r="AA53" s="11">
        <f t="shared" si="25"/>
        <v>23.5</v>
      </c>
      <c r="AB53" s="11">
        <f t="shared" si="26"/>
        <v>23</v>
      </c>
      <c r="AC53" s="11">
        <f t="shared" si="27"/>
        <v>46.5</v>
      </c>
      <c r="AD53" s="10">
        <v>3</v>
      </c>
      <c r="AE53" s="10">
        <v>3.5</v>
      </c>
      <c r="AF53" s="10">
        <f t="shared" si="28"/>
        <v>6.5</v>
      </c>
      <c r="AG53" s="11">
        <f t="shared" si="29"/>
        <v>26.5</v>
      </c>
      <c r="AH53" s="11">
        <f t="shared" si="30"/>
        <v>26.5</v>
      </c>
      <c r="AI53" s="11">
        <f t="shared" si="31"/>
        <v>53</v>
      </c>
      <c r="AJ53" s="11" t="s">
        <v>42</v>
      </c>
      <c r="AK53" s="12">
        <v>0</v>
      </c>
      <c r="AL53" s="12">
        <v>0</v>
      </c>
      <c r="AM53" s="12">
        <f t="shared" si="32"/>
        <v>0</v>
      </c>
      <c r="AN53" s="11">
        <f t="shared" si="33"/>
        <v>53</v>
      </c>
    </row>
    <row r="54" spans="1:40" x14ac:dyDescent="0.2">
      <c r="A54" t="s">
        <v>158</v>
      </c>
      <c r="B54" s="1" t="s">
        <v>161</v>
      </c>
      <c r="C54" s="2">
        <v>4</v>
      </c>
      <c r="D54" s="2">
        <v>3.5</v>
      </c>
      <c r="E54" s="2">
        <f t="shared" si="17"/>
        <v>7.5</v>
      </c>
      <c r="F54" s="3">
        <v>1.5</v>
      </c>
      <c r="G54" s="3">
        <v>2.5</v>
      </c>
      <c r="H54" s="3">
        <f t="shared" si="18"/>
        <v>4</v>
      </c>
      <c r="I54" s="4">
        <v>3.5</v>
      </c>
      <c r="J54" s="4">
        <v>3.5</v>
      </c>
      <c r="K54" s="4">
        <f t="shared" si="19"/>
        <v>7</v>
      </c>
      <c r="L54" s="5">
        <v>4</v>
      </c>
      <c r="M54" s="5">
        <v>4</v>
      </c>
      <c r="N54" s="5">
        <f t="shared" si="20"/>
        <v>8</v>
      </c>
      <c r="O54" s="6">
        <v>3.5</v>
      </c>
      <c r="P54" s="6">
        <v>3.5</v>
      </c>
      <c r="Q54" s="6">
        <f t="shared" si="21"/>
        <v>7</v>
      </c>
      <c r="R54" s="7">
        <v>3</v>
      </c>
      <c r="S54" s="7">
        <v>3</v>
      </c>
      <c r="T54" s="7">
        <f t="shared" si="22"/>
        <v>6</v>
      </c>
      <c r="U54" s="8">
        <v>3.5</v>
      </c>
      <c r="V54" s="8">
        <v>3</v>
      </c>
      <c r="W54" s="8">
        <f t="shared" si="23"/>
        <v>6.5</v>
      </c>
      <c r="X54" s="9">
        <v>3.5</v>
      </c>
      <c r="Y54" s="9">
        <v>2.5</v>
      </c>
      <c r="Z54" s="9">
        <f t="shared" si="24"/>
        <v>6</v>
      </c>
      <c r="AA54" s="11">
        <f t="shared" si="25"/>
        <v>26.5</v>
      </c>
      <c r="AB54" s="11">
        <f t="shared" si="26"/>
        <v>25.5</v>
      </c>
      <c r="AC54" s="11">
        <f t="shared" si="27"/>
        <v>52</v>
      </c>
      <c r="AD54" s="10">
        <v>3</v>
      </c>
      <c r="AE54" s="10">
        <v>3</v>
      </c>
      <c r="AF54" s="10">
        <f t="shared" si="28"/>
        <v>6</v>
      </c>
      <c r="AG54" s="11">
        <f t="shared" si="29"/>
        <v>29.5</v>
      </c>
      <c r="AH54" s="11">
        <f t="shared" si="30"/>
        <v>28.5</v>
      </c>
      <c r="AI54" s="11">
        <f t="shared" si="31"/>
        <v>58</v>
      </c>
      <c r="AJ54" s="11" t="s">
        <v>45</v>
      </c>
      <c r="AK54" s="12">
        <v>0</v>
      </c>
      <c r="AL54" s="12">
        <v>0</v>
      </c>
      <c r="AM54" s="12">
        <f t="shared" si="32"/>
        <v>0</v>
      </c>
      <c r="AN54" s="11">
        <f t="shared" si="33"/>
        <v>58</v>
      </c>
    </row>
    <row r="55" spans="1:40" x14ac:dyDescent="0.2">
      <c r="A55" t="s">
        <v>143</v>
      </c>
      <c r="B55" t="s">
        <v>144</v>
      </c>
      <c r="C55" s="2">
        <v>2</v>
      </c>
      <c r="D55" s="2">
        <v>2</v>
      </c>
      <c r="E55" s="2">
        <f t="shared" si="17"/>
        <v>4</v>
      </c>
      <c r="F55" s="3">
        <v>1.5</v>
      </c>
      <c r="G55" s="3">
        <v>1.5</v>
      </c>
      <c r="H55" s="3">
        <f t="shared" si="18"/>
        <v>3</v>
      </c>
      <c r="I55" s="4">
        <v>1.5</v>
      </c>
      <c r="J55" s="4">
        <v>1.5</v>
      </c>
      <c r="K55" s="4">
        <f t="shared" si="19"/>
        <v>3</v>
      </c>
      <c r="L55" s="5">
        <v>3.5</v>
      </c>
      <c r="M55" s="5">
        <v>3.5</v>
      </c>
      <c r="N55" s="5">
        <f t="shared" si="20"/>
        <v>7</v>
      </c>
      <c r="O55" s="6">
        <v>3.5</v>
      </c>
      <c r="P55" s="6">
        <v>3.5</v>
      </c>
      <c r="Q55" s="6">
        <f t="shared" si="21"/>
        <v>7</v>
      </c>
      <c r="R55" s="7">
        <v>3</v>
      </c>
      <c r="S55" s="7">
        <v>2</v>
      </c>
      <c r="T55" s="7">
        <f t="shared" si="22"/>
        <v>5</v>
      </c>
      <c r="U55" s="8">
        <v>1</v>
      </c>
      <c r="V55" s="8">
        <v>1</v>
      </c>
      <c r="W55" s="8">
        <f t="shared" si="23"/>
        <v>2</v>
      </c>
      <c r="X55" s="9">
        <v>3</v>
      </c>
      <c r="Y55" s="9">
        <v>4</v>
      </c>
      <c r="Z55" s="9">
        <f t="shared" si="24"/>
        <v>7</v>
      </c>
      <c r="AA55" s="11">
        <f t="shared" si="25"/>
        <v>19</v>
      </c>
      <c r="AB55" s="11">
        <f t="shared" si="26"/>
        <v>19</v>
      </c>
      <c r="AC55" s="11">
        <f t="shared" si="27"/>
        <v>38</v>
      </c>
      <c r="AD55" s="10">
        <v>3.5</v>
      </c>
      <c r="AE55" s="10">
        <v>3.5</v>
      </c>
      <c r="AF55" s="10">
        <f t="shared" si="28"/>
        <v>7</v>
      </c>
      <c r="AG55" s="11">
        <f t="shared" si="29"/>
        <v>22.5</v>
      </c>
      <c r="AH55" s="11">
        <f t="shared" si="30"/>
        <v>22.5</v>
      </c>
      <c r="AI55" s="11">
        <f t="shared" si="31"/>
        <v>45</v>
      </c>
      <c r="AJ55" s="11" t="s">
        <v>42</v>
      </c>
      <c r="AK55" s="12">
        <v>0</v>
      </c>
      <c r="AL55" s="12">
        <v>0</v>
      </c>
      <c r="AM55" s="12">
        <f t="shared" si="32"/>
        <v>0</v>
      </c>
      <c r="AN55" s="11">
        <f t="shared" si="33"/>
        <v>45</v>
      </c>
    </row>
    <row r="56" spans="1:40" x14ac:dyDescent="0.2">
      <c r="A56" t="s">
        <v>86</v>
      </c>
      <c r="B56" t="s">
        <v>87</v>
      </c>
      <c r="C56" s="2">
        <v>3</v>
      </c>
      <c r="D56" s="2">
        <v>3</v>
      </c>
      <c r="E56" s="2">
        <f t="shared" si="17"/>
        <v>6</v>
      </c>
      <c r="F56" s="3">
        <v>1</v>
      </c>
      <c r="G56" s="3">
        <v>2</v>
      </c>
      <c r="H56" s="3">
        <f t="shared" si="18"/>
        <v>3</v>
      </c>
      <c r="I56" s="4">
        <v>4</v>
      </c>
      <c r="J56" s="4">
        <v>4</v>
      </c>
      <c r="K56" s="4">
        <f t="shared" si="19"/>
        <v>8</v>
      </c>
      <c r="L56" s="5">
        <v>3</v>
      </c>
      <c r="M56" s="5">
        <v>3</v>
      </c>
      <c r="N56" s="5">
        <f t="shared" si="20"/>
        <v>6</v>
      </c>
      <c r="O56" s="6">
        <v>4</v>
      </c>
      <c r="P56" s="6">
        <v>4</v>
      </c>
      <c r="Q56" s="6">
        <f t="shared" si="21"/>
        <v>8</v>
      </c>
      <c r="R56" s="7">
        <v>3.5</v>
      </c>
      <c r="S56" s="7">
        <v>3.5</v>
      </c>
      <c r="T56" s="7">
        <f t="shared" si="22"/>
        <v>7</v>
      </c>
      <c r="U56" s="8">
        <v>3</v>
      </c>
      <c r="V56" s="8">
        <v>3.5</v>
      </c>
      <c r="W56" s="8">
        <f t="shared" si="23"/>
        <v>6.5</v>
      </c>
      <c r="X56" s="9">
        <v>4</v>
      </c>
      <c r="Y56" s="9">
        <v>3.5</v>
      </c>
      <c r="Z56" s="9">
        <f t="shared" si="24"/>
        <v>7.5</v>
      </c>
      <c r="AA56" s="11">
        <f t="shared" si="25"/>
        <v>25.5</v>
      </c>
      <c r="AB56" s="11">
        <f t="shared" si="26"/>
        <v>26.5</v>
      </c>
      <c r="AC56" s="11">
        <f t="shared" si="27"/>
        <v>52</v>
      </c>
      <c r="AD56" s="10">
        <v>3</v>
      </c>
      <c r="AE56" s="10">
        <v>2</v>
      </c>
      <c r="AF56" s="10">
        <f t="shared" si="28"/>
        <v>5</v>
      </c>
      <c r="AG56" s="11">
        <f t="shared" si="29"/>
        <v>28.5</v>
      </c>
      <c r="AH56" s="11">
        <f t="shared" si="30"/>
        <v>28.5</v>
      </c>
      <c r="AI56" s="11">
        <f t="shared" si="31"/>
        <v>57</v>
      </c>
      <c r="AJ56" s="11" t="s">
        <v>42</v>
      </c>
      <c r="AK56" s="12">
        <v>4</v>
      </c>
      <c r="AL56" s="12">
        <v>3</v>
      </c>
      <c r="AM56" s="12">
        <f t="shared" si="32"/>
        <v>7</v>
      </c>
      <c r="AN56" s="11">
        <f t="shared" si="33"/>
        <v>64</v>
      </c>
    </row>
    <row r="57" spans="1:40" x14ac:dyDescent="0.2">
      <c r="A57" t="s">
        <v>98</v>
      </c>
      <c r="B57" t="s">
        <v>99</v>
      </c>
      <c r="C57" s="2">
        <v>2.5</v>
      </c>
      <c r="D57" s="2">
        <v>2.5</v>
      </c>
      <c r="E57" s="2">
        <f t="shared" si="17"/>
        <v>5</v>
      </c>
      <c r="F57" s="3">
        <v>3</v>
      </c>
      <c r="G57" s="3">
        <v>2.5</v>
      </c>
      <c r="H57" s="3">
        <f t="shared" si="18"/>
        <v>5.5</v>
      </c>
      <c r="I57" s="4">
        <v>3</v>
      </c>
      <c r="J57" s="4">
        <v>4</v>
      </c>
      <c r="K57" s="4">
        <f t="shared" si="19"/>
        <v>7</v>
      </c>
      <c r="L57" s="5">
        <v>2.5</v>
      </c>
      <c r="M57" s="5">
        <v>2.5</v>
      </c>
      <c r="N57" s="5">
        <f t="shared" si="20"/>
        <v>5</v>
      </c>
      <c r="O57" s="6">
        <v>3</v>
      </c>
      <c r="P57" s="6">
        <v>3.5</v>
      </c>
      <c r="Q57" s="6">
        <f t="shared" si="21"/>
        <v>6.5</v>
      </c>
      <c r="R57" s="7">
        <v>3</v>
      </c>
      <c r="S57" s="7">
        <v>3.5</v>
      </c>
      <c r="T57" s="7">
        <f t="shared" si="22"/>
        <v>6.5</v>
      </c>
      <c r="U57" s="8">
        <v>3</v>
      </c>
      <c r="V57" s="8">
        <v>2.5</v>
      </c>
      <c r="W57" s="8">
        <f t="shared" si="23"/>
        <v>5.5</v>
      </c>
      <c r="X57" s="9">
        <v>3.5</v>
      </c>
      <c r="Y57" s="9">
        <v>4</v>
      </c>
      <c r="Z57" s="9">
        <f t="shared" si="24"/>
        <v>7.5</v>
      </c>
      <c r="AA57" s="11">
        <f t="shared" si="25"/>
        <v>23.5</v>
      </c>
      <c r="AB57" s="11">
        <f t="shared" si="26"/>
        <v>25</v>
      </c>
      <c r="AC57" s="11">
        <f t="shared" si="27"/>
        <v>48.5</v>
      </c>
      <c r="AD57" s="10">
        <v>3</v>
      </c>
      <c r="AE57" s="10">
        <v>3.5</v>
      </c>
      <c r="AF57" s="10">
        <f t="shared" si="28"/>
        <v>6.5</v>
      </c>
      <c r="AG57" s="11">
        <f t="shared" si="29"/>
        <v>26.5</v>
      </c>
      <c r="AH57" s="11">
        <f t="shared" si="30"/>
        <v>28.5</v>
      </c>
      <c r="AI57" s="11">
        <f t="shared" si="31"/>
        <v>55</v>
      </c>
      <c r="AJ57" s="11" t="s">
        <v>45</v>
      </c>
      <c r="AK57" s="12">
        <v>0</v>
      </c>
      <c r="AL57" s="12">
        <v>0</v>
      </c>
      <c r="AM57" s="12">
        <f t="shared" si="32"/>
        <v>0</v>
      </c>
      <c r="AN57" s="11">
        <f t="shared" si="33"/>
        <v>55</v>
      </c>
    </row>
    <row r="58" spans="1:40" x14ac:dyDescent="0.2">
      <c r="A58" t="s">
        <v>94</v>
      </c>
      <c r="B58" t="s">
        <v>95</v>
      </c>
      <c r="C58" s="2">
        <v>3.5</v>
      </c>
      <c r="D58" s="2">
        <v>4</v>
      </c>
      <c r="E58" s="2">
        <f t="shared" si="17"/>
        <v>7.5</v>
      </c>
      <c r="F58" s="3">
        <v>3.5</v>
      </c>
      <c r="G58" s="3">
        <v>3.5</v>
      </c>
      <c r="H58" s="3">
        <f t="shared" si="18"/>
        <v>7</v>
      </c>
      <c r="I58" s="4">
        <v>3.5</v>
      </c>
      <c r="J58" s="4">
        <v>4</v>
      </c>
      <c r="K58" s="4">
        <f t="shared" si="19"/>
        <v>7.5</v>
      </c>
      <c r="L58" s="5">
        <v>3</v>
      </c>
      <c r="M58" s="5">
        <v>3.5</v>
      </c>
      <c r="N58" s="5">
        <f t="shared" si="20"/>
        <v>6.5</v>
      </c>
      <c r="O58" s="6">
        <v>3</v>
      </c>
      <c r="P58" s="6">
        <v>3.5</v>
      </c>
      <c r="Q58" s="6">
        <f t="shared" si="21"/>
        <v>6.5</v>
      </c>
      <c r="R58" s="7">
        <v>3.5</v>
      </c>
      <c r="S58" s="7">
        <v>3.5</v>
      </c>
      <c r="T58" s="7">
        <f t="shared" si="22"/>
        <v>7</v>
      </c>
      <c r="U58" s="8">
        <v>3</v>
      </c>
      <c r="V58" s="8">
        <v>2.5</v>
      </c>
      <c r="W58" s="8">
        <f t="shared" si="23"/>
        <v>5.5</v>
      </c>
      <c r="X58" s="9">
        <v>3</v>
      </c>
      <c r="Y58" s="9">
        <v>3</v>
      </c>
      <c r="Z58" s="9">
        <f t="shared" si="24"/>
        <v>6</v>
      </c>
      <c r="AA58" s="11">
        <f t="shared" si="25"/>
        <v>26</v>
      </c>
      <c r="AB58" s="11">
        <f t="shared" si="26"/>
        <v>27.5</v>
      </c>
      <c r="AC58" s="11">
        <f t="shared" si="27"/>
        <v>53.5</v>
      </c>
      <c r="AD58" s="10">
        <v>1</v>
      </c>
      <c r="AE58" s="10">
        <v>1</v>
      </c>
      <c r="AF58" s="10">
        <f t="shared" si="28"/>
        <v>2</v>
      </c>
      <c r="AG58" s="11">
        <f t="shared" si="29"/>
        <v>27</v>
      </c>
      <c r="AH58" s="11">
        <f t="shared" si="30"/>
        <v>28.5</v>
      </c>
      <c r="AI58" s="11">
        <f t="shared" si="31"/>
        <v>55.5</v>
      </c>
      <c r="AJ58" s="11" t="s">
        <v>45</v>
      </c>
      <c r="AK58" s="12">
        <v>0</v>
      </c>
      <c r="AL58" s="12">
        <v>0</v>
      </c>
      <c r="AM58" s="12">
        <f t="shared" si="32"/>
        <v>0</v>
      </c>
      <c r="AN58" s="11">
        <f t="shared" si="33"/>
        <v>55.5</v>
      </c>
    </row>
    <row r="59" spans="1:40" x14ac:dyDescent="0.2">
      <c r="A59" t="s">
        <v>175</v>
      </c>
      <c r="B59" t="s">
        <v>183</v>
      </c>
      <c r="C59" s="2">
        <v>3</v>
      </c>
      <c r="D59" s="2">
        <v>3</v>
      </c>
      <c r="E59" s="2">
        <f t="shared" si="17"/>
        <v>6</v>
      </c>
      <c r="F59" s="3">
        <v>3</v>
      </c>
      <c r="G59" s="3">
        <v>3</v>
      </c>
      <c r="H59" s="3">
        <f t="shared" si="18"/>
        <v>6</v>
      </c>
      <c r="I59" s="4">
        <v>2</v>
      </c>
      <c r="J59" s="4">
        <v>2</v>
      </c>
      <c r="K59" s="4">
        <f t="shared" si="19"/>
        <v>4</v>
      </c>
      <c r="L59" s="5">
        <v>3</v>
      </c>
      <c r="M59" s="5">
        <v>3</v>
      </c>
      <c r="N59" s="5">
        <f t="shared" si="20"/>
        <v>6</v>
      </c>
      <c r="O59" s="6">
        <v>4</v>
      </c>
      <c r="P59" s="6">
        <v>4</v>
      </c>
      <c r="Q59" s="6">
        <f t="shared" si="21"/>
        <v>8</v>
      </c>
      <c r="R59" s="7">
        <v>3</v>
      </c>
      <c r="S59" s="7">
        <v>3.5</v>
      </c>
      <c r="T59" s="7">
        <f t="shared" si="22"/>
        <v>6.5</v>
      </c>
      <c r="U59" s="8">
        <v>3.5</v>
      </c>
      <c r="V59" s="8">
        <v>4</v>
      </c>
      <c r="W59" s="8">
        <f t="shared" si="23"/>
        <v>7.5</v>
      </c>
      <c r="X59" s="9">
        <v>3.5</v>
      </c>
      <c r="Y59" s="9">
        <v>3</v>
      </c>
      <c r="Z59" s="9">
        <f t="shared" si="24"/>
        <v>6.5</v>
      </c>
      <c r="AA59" s="11">
        <f t="shared" si="25"/>
        <v>25</v>
      </c>
      <c r="AB59" s="11">
        <f t="shared" si="26"/>
        <v>25.5</v>
      </c>
      <c r="AC59" s="11">
        <f t="shared" si="27"/>
        <v>50.5</v>
      </c>
      <c r="AD59" s="10">
        <v>2.5</v>
      </c>
      <c r="AE59" s="10">
        <v>3</v>
      </c>
      <c r="AF59" s="10">
        <f t="shared" si="28"/>
        <v>5.5</v>
      </c>
      <c r="AG59" s="11">
        <f t="shared" si="29"/>
        <v>27.5</v>
      </c>
      <c r="AH59" s="11">
        <f t="shared" si="30"/>
        <v>28.5</v>
      </c>
      <c r="AI59" s="11">
        <f t="shared" si="31"/>
        <v>56</v>
      </c>
      <c r="AJ59" s="11" t="s">
        <v>45</v>
      </c>
      <c r="AK59" s="12">
        <v>0</v>
      </c>
      <c r="AL59" s="12">
        <v>0</v>
      </c>
      <c r="AM59" s="12">
        <f t="shared" si="32"/>
        <v>0</v>
      </c>
      <c r="AN59" s="11">
        <f t="shared" si="33"/>
        <v>56</v>
      </c>
    </row>
    <row r="60" spans="1:40" ht="18" customHeight="1" x14ac:dyDescent="0.2">
      <c r="A60" t="s">
        <v>46</v>
      </c>
      <c r="B60" t="s">
        <v>47</v>
      </c>
      <c r="C60" s="2">
        <v>3</v>
      </c>
      <c r="D60" s="2">
        <v>3</v>
      </c>
      <c r="E60" s="2">
        <f t="shared" si="17"/>
        <v>6</v>
      </c>
      <c r="F60" s="3">
        <v>4</v>
      </c>
      <c r="G60" s="3">
        <v>4</v>
      </c>
      <c r="H60" s="3">
        <f t="shared" si="18"/>
        <v>8</v>
      </c>
      <c r="I60" s="4">
        <v>4</v>
      </c>
      <c r="J60" s="4">
        <v>4</v>
      </c>
      <c r="K60" s="4">
        <f t="shared" si="19"/>
        <v>8</v>
      </c>
      <c r="L60" s="5">
        <v>2</v>
      </c>
      <c r="M60" s="5">
        <v>2.5</v>
      </c>
      <c r="N60" s="5">
        <f t="shared" si="20"/>
        <v>4.5</v>
      </c>
      <c r="O60" s="6">
        <v>3.5</v>
      </c>
      <c r="P60" s="6">
        <v>4</v>
      </c>
      <c r="Q60" s="6">
        <f t="shared" si="21"/>
        <v>7.5</v>
      </c>
      <c r="R60" s="7">
        <v>3.5</v>
      </c>
      <c r="S60" s="7">
        <v>4</v>
      </c>
      <c r="T60" s="7">
        <f t="shared" si="22"/>
        <v>7.5</v>
      </c>
      <c r="U60" s="8">
        <v>4.5</v>
      </c>
      <c r="V60" s="8">
        <v>5</v>
      </c>
      <c r="W60" s="8">
        <f t="shared" si="23"/>
        <v>9.5</v>
      </c>
      <c r="X60" s="9">
        <v>2.5</v>
      </c>
      <c r="Y60" s="9">
        <v>2.5</v>
      </c>
      <c r="Z60" s="9">
        <f t="shared" si="24"/>
        <v>5</v>
      </c>
      <c r="AA60" s="11">
        <f t="shared" si="25"/>
        <v>27</v>
      </c>
      <c r="AB60" s="11">
        <f t="shared" si="26"/>
        <v>29</v>
      </c>
      <c r="AC60" s="11">
        <f t="shared" si="27"/>
        <v>56</v>
      </c>
      <c r="AD60" s="10">
        <v>2.5</v>
      </c>
      <c r="AE60" s="10">
        <v>4</v>
      </c>
      <c r="AF60" s="10">
        <f t="shared" si="28"/>
        <v>6.5</v>
      </c>
      <c r="AG60" s="11">
        <f t="shared" si="29"/>
        <v>29.5</v>
      </c>
      <c r="AH60" s="11">
        <f t="shared" si="30"/>
        <v>33</v>
      </c>
      <c r="AI60" s="11">
        <f t="shared" si="31"/>
        <v>62.5</v>
      </c>
      <c r="AJ60" s="11" t="s">
        <v>42</v>
      </c>
      <c r="AK60" s="12">
        <v>0</v>
      </c>
      <c r="AL60" s="12">
        <v>0</v>
      </c>
      <c r="AM60" s="12">
        <f t="shared" si="32"/>
        <v>0</v>
      </c>
      <c r="AN60" s="11">
        <f t="shared" si="33"/>
        <v>62.5</v>
      </c>
    </row>
    <row r="61" spans="1:40" x14ac:dyDescent="0.2">
      <c r="A61" t="s">
        <v>123</v>
      </c>
      <c r="B61" t="s">
        <v>124</v>
      </c>
      <c r="C61" s="2">
        <v>4</v>
      </c>
      <c r="D61" s="2">
        <v>4</v>
      </c>
      <c r="E61" s="2">
        <f t="shared" si="17"/>
        <v>8</v>
      </c>
      <c r="F61" s="3">
        <v>2</v>
      </c>
      <c r="G61" s="3">
        <v>2.5</v>
      </c>
      <c r="H61" s="3">
        <f t="shared" si="18"/>
        <v>4.5</v>
      </c>
      <c r="I61" s="4">
        <v>1.5</v>
      </c>
      <c r="J61" s="4">
        <v>1.5</v>
      </c>
      <c r="K61" s="4">
        <f t="shared" si="19"/>
        <v>3</v>
      </c>
      <c r="L61" s="5">
        <v>4</v>
      </c>
      <c r="M61" s="5">
        <v>4</v>
      </c>
      <c r="N61" s="5">
        <f t="shared" si="20"/>
        <v>8</v>
      </c>
      <c r="O61" s="6">
        <v>3</v>
      </c>
      <c r="P61" s="6">
        <v>3</v>
      </c>
      <c r="Q61" s="6">
        <f t="shared" si="21"/>
        <v>6</v>
      </c>
      <c r="R61" s="7">
        <v>3.5</v>
      </c>
      <c r="S61" s="7">
        <v>3.5</v>
      </c>
      <c r="T61" s="7">
        <f t="shared" si="22"/>
        <v>7</v>
      </c>
      <c r="U61" s="8">
        <v>1.5</v>
      </c>
      <c r="V61" s="8">
        <v>2.5</v>
      </c>
      <c r="W61" s="8">
        <f t="shared" si="23"/>
        <v>4</v>
      </c>
      <c r="X61" s="9">
        <v>3.5</v>
      </c>
      <c r="Y61" s="9">
        <v>3</v>
      </c>
      <c r="Z61" s="9">
        <f t="shared" si="24"/>
        <v>6.5</v>
      </c>
      <c r="AA61" s="11">
        <f t="shared" si="25"/>
        <v>23</v>
      </c>
      <c r="AB61" s="11">
        <f t="shared" si="26"/>
        <v>24</v>
      </c>
      <c r="AC61" s="11">
        <f t="shared" si="27"/>
        <v>47</v>
      </c>
      <c r="AD61" s="10">
        <v>2.5</v>
      </c>
      <c r="AE61" s="10">
        <v>2</v>
      </c>
      <c r="AF61" s="10">
        <f t="shared" si="28"/>
        <v>4.5</v>
      </c>
      <c r="AG61" s="11">
        <f t="shared" si="29"/>
        <v>25.5</v>
      </c>
      <c r="AH61" s="11">
        <f t="shared" si="30"/>
        <v>26</v>
      </c>
      <c r="AI61" s="11">
        <f t="shared" si="31"/>
        <v>51.5</v>
      </c>
      <c r="AJ61" s="11" t="s">
        <v>42</v>
      </c>
      <c r="AK61" s="12">
        <v>0</v>
      </c>
      <c r="AL61" s="12">
        <v>0</v>
      </c>
      <c r="AM61" s="12">
        <f t="shared" si="32"/>
        <v>0</v>
      </c>
      <c r="AN61" s="11">
        <f t="shared" si="33"/>
        <v>51.5</v>
      </c>
    </row>
    <row r="62" spans="1:40" x14ac:dyDescent="0.2">
      <c r="A62" t="s">
        <v>58</v>
      </c>
      <c r="B62" t="s">
        <v>59</v>
      </c>
      <c r="C62" s="2">
        <v>3</v>
      </c>
      <c r="D62" s="2">
        <v>3.5</v>
      </c>
      <c r="E62" s="2">
        <f t="shared" si="17"/>
        <v>6.5</v>
      </c>
      <c r="F62" s="3">
        <v>2.5</v>
      </c>
      <c r="G62" s="3">
        <v>2.5</v>
      </c>
      <c r="H62" s="3">
        <f t="shared" si="18"/>
        <v>5</v>
      </c>
      <c r="I62" s="4">
        <v>3</v>
      </c>
      <c r="J62" s="4">
        <v>2.5</v>
      </c>
      <c r="K62" s="4">
        <f t="shared" si="19"/>
        <v>5.5</v>
      </c>
      <c r="L62" s="5">
        <v>4</v>
      </c>
      <c r="M62" s="5">
        <v>3.5</v>
      </c>
      <c r="N62" s="5">
        <f t="shared" si="20"/>
        <v>7.5</v>
      </c>
      <c r="O62" s="6">
        <v>4</v>
      </c>
      <c r="P62" s="6">
        <v>4</v>
      </c>
      <c r="Q62" s="6">
        <f t="shared" si="21"/>
        <v>8</v>
      </c>
      <c r="R62" s="7">
        <v>3.5</v>
      </c>
      <c r="S62" s="7">
        <v>3</v>
      </c>
      <c r="T62" s="7">
        <f t="shared" si="22"/>
        <v>6.5</v>
      </c>
      <c r="U62" s="8">
        <v>4</v>
      </c>
      <c r="V62" s="8">
        <v>4</v>
      </c>
      <c r="W62" s="8">
        <f t="shared" si="23"/>
        <v>8</v>
      </c>
      <c r="X62" s="9">
        <v>4</v>
      </c>
      <c r="Y62" s="9">
        <v>4</v>
      </c>
      <c r="Z62" s="9">
        <f t="shared" si="24"/>
        <v>8</v>
      </c>
      <c r="AA62" s="11">
        <f t="shared" si="25"/>
        <v>28</v>
      </c>
      <c r="AB62" s="11">
        <f t="shared" si="26"/>
        <v>27</v>
      </c>
      <c r="AC62" s="11">
        <f t="shared" si="27"/>
        <v>55</v>
      </c>
      <c r="AD62" s="10">
        <v>2</v>
      </c>
      <c r="AE62" s="10">
        <v>2</v>
      </c>
      <c r="AF62" s="10">
        <f t="shared" si="28"/>
        <v>4</v>
      </c>
      <c r="AG62" s="11">
        <f t="shared" si="29"/>
        <v>30</v>
      </c>
      <c r="AH62" s="11">
        <f t="shared" si="30"/>
        <v>29</v>
      </c>
      <c r="AI62" s="11">
        <f t="shared" si="31"/>
        <v>59</v>
      </c>
      <c r="AJ62" s="11" t="s">
        <v>45</v>
      </c>
      <c r="AK62" s="12">
        <v>0</v>
      </c>
      <c r="AL62" s="12">
        <v>0</v>
      </c>
      <c r="AM62" s="12">
        <f t="shared" si="32"/>
        <v>0</v>
      </c>
      <c r="AN62" s="11">
        <f t="shared" si="33"/>
        <v>59</v>
      </c>
    </row>
    <row r="63" spans="1:40" x14ac:dyDescent="0.2">
      <c r="A63" t="s">
        <v>129</v>
      </c>
      <c r="B63" t="s">
        <v>130</v>
      </c>
      <c r="C63" s="2">
        <v>2.5</v>
      </c>
      <c r="D63" s="2">
        <v>2.5</v>
      </c>
      <c r="E63" s="2">
        <f t="shared" si="17"/>
        <v>5</v>
      </c>
      <c r="F63" s="3">
        <v>2</v>
      </c>
      <c r="G63" s="3">
        <v>1</v>
      </c>
      <c r="H63" s="3">
        <f t="shared" si="18"/>
        <v>3</v>
      </c>
      <c r="I63" s="4">
        <v>2.5</v>
      </c>
      <c r="J63" s="4">
        <v>2.5</v>
      </c>
      <c r="K63" s="4">
        <f t="shared" si="19"/>
        <v>5</v>
      </c>
      <c r="L63" s="5">
        <v>3.5</v>
      </c>
      <c r="M63" s="5">
        <v>3.5</v>
      </c>
      <c r="N63" s="5">
        <f t="shared" si="20"/>
        <v>7</v>
      </c>
      <c r="O63" s="6">
        <v>3.5</v>
      </c>
      <c r="P63" s="6">
        <v>2.5</v>
      </c>
      <c r="Q63" s="6">
        <f t="shared" si="21"/>
        <v>6</v>
      </c>
      <c r="R63" s="7">
        <v>3</v>
      </c>
      <c r="S63" s="7">
        <v>3</v>
      </c>
      <c r="T63" s="7">
        <f t="shared" si="22"/>
        <v>6</v>
      </c>
      <c r="U63" s="8">
        <v>3.5</v>
      </c>
      <c r="V63" s="8">
        <v>3</v>
      </c>
      <c r="W63" s="8">
        <f t="shared" si="23"/>
        <v>6.5</v>
      </c>
      <c r="X63" s="9">
        <v>3.5</v>
      </c>
      <c r="Y63" s="9">
        <v>3.5</v>
      </c>
      <c r="Z63" s="9">
        <f t="shared" si="24"/>
        <v>7</v>
      </c>
      <c r="AA63" s="11">
        <f t="shared" si="25"/>
        <v>24</v>
      </c>
      <c r="AB63" s="11">
        <f t="shared" si="26"/>
        <v>21.5</v>
      </c>
      <c r="AC63" s="11">
        <f t="shared" si="27"/>
        <v>45.5</v>
      </c>
      <c r="AD63" s="10">
        <v>2.5</v>
      </c>
      <c r="AE63" s="10">
        <v>2.5</v>
      </c>
      <c r="AF63" s="10">
        <f t="shared" si="28"/>
        <v>5</v>
      </c>
      <c r="AG63" s="11">
        <f t="shared" si="29"/>
        <v>26.5</v>
      </c>
      <c r="AH63" s="11">
        <f t="shared" si="30"/>
        <v>24</v>
      </c>
      <c r="AI63" s="11">
        <f t="shared" si="31"/>
        <v>50.5</v>
      </c>
      <c r="AJ63" s="11" t="s">
        <v>42</v>
      </c>
      <c r="AK63" s="12">
        <v>0</v>
      </c>
      <c r="AL63" s="12">
        <v>0</v>
      </c>
      <c r="AM63" s="12">
        <f t="shared" si="32"/>
        <v>0</v>
      </c>
      <c r="AN63" s="11">
        <f t="shared" si="33"/>
        <v>50.5</v>
      </c>
    </row>
    <row r="64" spans="1:40" x14ac:dyDescent="0.2">
      <c r="A64" t="s">
        <v>177</v>
      </c>
      <c r="B64" t="s">
        <v>182</v>
      </c>
      <c r="C64" s="2">
        <v>2</v>
      </c>
      <c r="D64" s="2">
        <v>2.5</v>
      </c>
      <c r="E64" s="2">
        <f t="shared" si="17"/>
        <v>4.5</v>
      </c>
      <c r="F64" s="3">
        <v>3.5</v>
      </c>
      <c r="G64" s="3">
        <v>4</v>
      </c>
      <c r="H64" s="3">
        <f t="shared" si="18"/>
        <v>7.5</v>
      </c>
      <c r="I64" s="4">
        <v>3.5</v>
      </c>
      <c r="J64" s="4">
        <v>3</v>
      </c>
      <c r="K64" s="4">
        <f t="shared" si="19"/>
        <v>6.5</v>
      </c>
      <c r="L64" s="5">
        <v>2.5</v>
      </c>
      <c r="M64" s="5">
        <v>2.5</v>
      </c>
      <c r="N64" s="5">
        <f t="shared" si="20"/>
        <v>5</v>
      </c>
      <c r="O64" s="6">
        <v>2.5</v>
      </c>
      <c r="P64" s="6">
        <v>2</v>
      </c>
      <c r="Q64" s="6">
        <f t="shared" si="21"/>
        <v>4.5</v>
      </c>
      <c r="R64" s="7">
        <v>3.5</v>
      </c>
      <c r="S64" s="7">
        <v>3.5</v>
      </c>
      <c r="T64" s="7">
        <f t="shared" si="22"/>
        <v>7</v>
      </c>
      <c r="U64" s="8">
        <v>3</v>
      </c>
      <c r="V64" s="8">
        <v>2.5</v>
      </c>
      <c r="W64" s="8">
        <f t="shared" si="23"/>
        <v>5.5</v>
      </c>
      <c r="X64" s="9">
        <v>2.5</v>
      </c>
      <c r="Y64" s="9">
        <v>2.5</v>
      </c>
      <c r="Z64" s="9">
        <f t="shared" si="24"/>
        <v>5</v>
      </c>
      <c r="AA64" s="11">
        <f t="shared" si="25"/>
        <v>23</v>
      </c>
      <c r="AB64" s="11">
        <f t="shared" si="26"/>
        <v>22.5</v>
      </c>
      <c r="AC64" s="11">
        <f t="shared" si="27"/>
        <v>45.5</v>
      </c>
      <c r="AD64" s="10">
        <v>1.5</v>
      </c>
      <c r="AE64" s="10">
        <v>1.5</v>
      </c>
      <c r="AF64" s="10">
        <f t="shared" si="28"/>
        <v>3</v>
      </c>
      <c r="AG64" s="11">
        <f t="shared" si="29"/>
        <v>24.5</v>
      </c>
      <c r="AH64" s="11">
        <f t="shared" si="30"/>
        <v>24</v>
      </c>
      <c r="AI64" s="11">
        <f t="shared" si="31"/>
        <v>48.5</v>
      </c>
      <c r="AJ64" s="11" t="s">
        <v>45</v>
      </c>
      <c r="AK64" s="12">
        <v>0</v>
      </c>
      <c r="AL64" s="12">
        <v>0</v>
      </c>
      <c r="AM64" s="12">
        <f t="shared" si="32"/>
        <v>0</v>
      </c>
      <c r="AN64" s="11">
        <f t="shared" si="33"/>
        <v>48.5</v>
      </c>
    </row>
    <row r="65" spans="1:40" x14ac:dyDescent="0.2">
      <c r="A65" t="s">
        <v>171</v>
      </c>
      <c r="B65" t="s">
        <v>181</v>
      </c>
      <c r="C65" s="2">
        <v>2.5</v>
      </c>
      <c r="D65" s="2">
        <v>2.5</v>
      </c>
      <c r="E65" s="2">
        <f t="shared" si="17"/>
        <v>5</v>
      </c>
      <c r="F65" s="3">
        <v>3</v>
      </c>
      <c r="G65" s="3">
        <v>3</v>
      </c>
      <c r="H65" s="3">
        <f t="shared" si="18"/>
        <v>6</v>
      </c>
      <c r="I65" s="4">
        <v>3</v>
      </c>
      <c r="J65" s="4">
        <v>3</v>
      </c>
      <c r="K65" s="4">
        <f t="shared" si="19"/>
        <v>6</v>
      </c>
      <c r="L65" s="5">
        <v>2.5</v>
      </c>
      <c r="M65" s="5">
        <v>3</v>
      </c>
      <c r="N65" s="5">
        <f t="shared" si="20"/>
        <v>5.5</v>
      </c>
      <c r="O65" s="6">
        <v>3.5</v>
      </c>
      <c r="P65" s="6">
        <v>3.5</v>
      </c>
      <c r="Q65" s="6">
        <f t="shared" si="21"/>
        <v>7</v>
      </c>
      <c r="R65" s="7">
        <v>3.5</v>
      </c>
      <c r="S65" s="7">
        <v>3</v>
      </c>
      <c r="T65" s="7">
        <f t="shared" si="22"/>
        <v>6.5</v>
      </c>
      <c r="U65" s="8">
        <v>2.5</v>
      </c>
      <c r="V65" s="8">
        <v>2</v>
      </c>
      <c r="W65" s="8">
        <f t="shared" si="23"/>
        <v>4.5</v>
      </c>
      <c r="X65" s="9">
        <v>3.5</v>
      </c>
      <c r="Y65" s="9">
        <v>3.5</v>
      </c>
      <c r="Z65" s="9">
        <f t="shared" si="24"/>
        <v>7</v>
      </c>
      <c r="AA65" s="11">
        <f t="shared" si="25"/>
        <v>24</v>
      </c>
      <c r="AB65" s="11">
        <f t="shared" si="26"/>
        <v>23.5</v>
      </c>
      <c r="AC65" s="11">
        <f t="shared" si="27"/>
        <v>47.5</v>
      </c>
      <c r="AD65" s="10">
        <v>2</v>
      </c>
      <c r="AE65" s="10">
        <v>2</v>
      </c>
      <c r="AF65" s="10">
        <f t="shared" si="28"/>
        <v>4</v>
      </c>
      <c r="AG65" s="11">
        <f t="shared" si="29"/>
        <v>26</v>
      </c>
      <c r="AH65" s="11">
        <f t="shared" si="30"/>
        <v>25.5</v>
      </c>
      <c r="AI65" s="11">
        <f t="shared" si="31"/>
        <v>51.5</v>
      </c>
      <c r="AJ65" s="11" t="s">
        <v>42</v>
      </c>
      <c r="AK65" s="12">
        <v>3</v>
      </c>
      <c r="AL65" s="12">
        <v>2</v>
      </c>
      <c r="AM65" s="12">
        <f t="shared" si="32"/>
        <v>5</v>
      </c>
      <c r="AN65" s="11">
        <f t="shared" si="33"/>
        <v>56.5</v>
      </c>
    </row>
    <row r="66" spans="1:40" x14ac:dyDescent="0.2">
      <c r="A66" t="s">
        <v>64</v>
      </c>
      <c r="B66" t="s">
        <v>65</v>
      </c>
      <c r="C66" s="2">
        <v>3</v>
      </c>
      <c r="D66" s="2">
        <v>3.5</v>
      </c>
      <c r="E66" s="2">
        <f t="shared" si="17"/>
        <v>6.5</v>
      </c>
      <c r="F66" s="3">
        <v>2.5</v>
      </c>
      <c r="G66" s="3">
        <v>3</v>
      </c>
      <c r="H66" s="3">
        <f t="shared" si="18"/>
        <v>5.5</v>
      </c>
      <c r="I66" s="4">
        <v>2.5</v>
      </c>
      <c r="J66" s="4">
        <v>3.5</v>
      </c>
      <c r="K66" s="4">
        <f t="shared" si="19"/>
        <v>6</v>
      </c>
      <c r="L66" s="5">
        <v>3</v>
      </c>
      <c r="M66" s="5">
        <v>3</v>
      </c>
      <c r="N66" s="5">
        <f t="shared" si="20"/>
        <v>6</v>
      </c>
      <c r="O66" s="6">
        <v>3.5</v>
      </c>
      <c r="P66" s="6">
        <v>4</v>
      </c>
      <c r="Q66" s="6">
        <f t="shared" si="21"/>
        <v>7.5</v>
      </c>
      <c r="R66" s="7">
        <v>3</v>
      </c>
      <c r="S66" s="7">
        <v>3</v>
      </c>
      <c r="T66" s="7">
        <f t="shared" si="22"/>
        <v>6</v>
      </c>
      <c r="U66" s="8">
        <v>4</v>
      </c>
      <c r="V66" s="8">
        <v>4</v>
      </c>
      <c r="W66" s="8">
        <f t="shared" si="23"/>
        <v>8</v>
      </c>
      <c r="X66" s="9">
        <v>3</v>
      </c>
      <c r="Y66" s="9">
        <v>3.5</v>
      </c>
      <c r="Z66" s="9">
        <f t="shared" si="24"/>
        <v>6.5</v>
      </c>
      <c r="AA66" s="11">
        <f t="shared" si="25"/>
        <v>24.5</v>
      </c>
      <c r="AB66" s="11">
        <f t="shared" si="26"/>
        <v>27.5</v>
      </c>
      <c r="AC66" s="11">
        <f t="shared" si="27"/>
        <v>52</v>
      </c>
      <c r="AD66" s="10">
        <v>4</v>
      </c>
      <c r="AE66" s="10">
        <v>4</v>
      </c>
      <c r="AF66" s="10">
        <f t="shared" si="28"/>
        <v>8</v>
      </c>
      <c r="AG66" s="11">
        <f t="shared" si="29"/>
        <v>28.5</v>
      </c>
      <c r="AH66" s="11">
        <f t="shared" si="30"/>
        <v>31.5</v>
      </c>
      <c r="AI66" s="11">
        <f t="shared" si="31"/>
        <v>60</v>
      </c>
      <c r="AJ66" s="11" t="s">
        <v>42</v>
      </c>
      <c r="AK66" s="12">
        <v>0</v>
      </c>
      <c r="AL66" s="12">
        <v>0</v>
      </c>
      <c r="AM66" s="12">
        <f t="shared" si="32"/>
        <v>0</v>
      </c>
      <c r="AN66" s="11">
        <f t="shared" si="33"/>
        <v>60</v>
      </c>
    </row>
    <row r="67" spans="1:40" x14ac:dyDescent="0.2">
      <c r="A67" t="s">
        <v>119</v>
      </c>
      <c r="B67" t="s">
        <v>180</v>
      </c>
      <c r="C67" s="2">
        <v>3</v>
      </c>
      <c r="D67" s="2">
        <v>3</v>
      </c>
      <c r="E67" s="2">
        <f t="shared" si="17"/>
        <v>6</v>
      </c>
      <c r="F67" s="3">
        <v>3.5</v>
      </c>
      <c r="G67" s="3">
        <v>3.5</v>
      </c>
      <c r="H67" s="3">
        <f t="shared" si="18"/>
        <v>7</v>
      </c>
      <c r="I67" s="4">
        <v>3</v>
      </c>
      <c r="J67" s="4">
        <v>2.5</v>
      </c>
      <c r="K67" s="4">
        <f t="shared" si="19"/>
        <v>5.5</v>
      </c>
      <c r="L67" s="5">
        <v>2.5</v>
      </c>
      <c r="M67" s="5">
        <v>2.5</v>
      </c>
      <c r="N67" s="5">
        <f t="shared" si="20"/>
        <v>5</v>
      </c>
      <c r="O67" s="6">
        <v>4</v>
      </c>
      <c r="P67" s="6">
        <v>4</v>
      </c>
      <c r="Q67" s="6">
        <f t="shared" si="21"/>
        <v>8</v>
      </c>
      <c r="R67" s="7">
        <v>4</v>
      </c>
      <c r="S67" s="7">
        <v>4</v>
      </c>
      <c r="T67" s="7">
        <f t="shared" si="22"/>
        <v>8</v>
      </c>
      <c r="U67" s="8">
        <v>3.5</v>
      </c>
      <c r="V67" s="8">
        <v>4</v>
      </c>
      <c r="W67" s="8">
        <f t="shared" si="23"/>
        <v>7.5</v>
      </c>
      <c r="X67" s="9">
        <v>3.5</v>
      </c>
      <c r="Y67" s="9">
        <v>4</v>
      </c>
      <c r="Z67" s="9">
        <f t="shared" si="24"/>
        <v>7.5</v>
      </c>
      <c r="AA67" s="11">
        <f t="shared" si="25"/>
        <v>27</v>
      </c>
      <c r="AB67" s="11">
        <f t="shared" si="26"/>
        <v>27.5</v>
      </c>
      <c r="AC67" s="11">
        <f t="shared" si="27"/>
        <v>54.5</v>
      </c>
      <c r="AD67" s="10">
        <v>2</v>
      </c>
      <c r="AE67" s="10">
        <v>2</v>
      </c>
      <c r="AF67" s="10">
        <f t="shared" si="28"/>
        <v>4</v>
      </c>
      <c r="AG67" s="11">
        <f t="shared" si="29"/>
        <v>29</v>
      </c>
      <c r="AH67" s="11">
        <f t="shared" si="30"/>
        <v>29.5</v>
      </c>
      <c r="AI67" s="11">
        <f t="shared" si="31"/>
        <v>58.5</v>
      </c>
      <c r="AJ67" s="11" t="s">
        <v>42</v>
      </c>
      <c r="AK67" s="12">
        <v>0</v>
      </c>
      <c r="AL67" s="12">
        <v>0</v>
      </c>
      <c r="AM67" s="12">
        <f t="shared" si="32"/>
        <v>0</v>
      </c>
      <c r="AN67" s="11">
        <f t="shared" si="33"/>
        <v>58.5</v>
      </c>
    </row>
    <row r="68" spans="1:40" x14ac:dyDescent="0.2">
      <c r="A68" t="s">
        <v>149</v>
      </c>
      <c r="B68" t="s">
        <v>150</v>
      </c>
      <c r="C68" s="2">
        <v>2.5</v>
      </c>
      <c r="D68" s="2">
        <v>2</v>
      </c>
      <c r="E68" s="2">
        <f t="shared" si="17"/>
        <v>4.5</v>
      </c>
      <c r="F68" s="3">
        <v>3.5</v>
      </c>
      <c r="G68" s="3">
        <v>2.5</v>
      </c>
      <c r="H68" s="3">
        <f t="shared" si="18"/>
        <v>6</v>
      </c>
      <c r="I68" s="4">
        <v>2.5</v>
      </c>
      <c r="J68" s="4">
        <v>2.5</v>
      </c>
      <c r="K68" s="4">
        <f t="shared" si="19"/>
        <v>5</v>
      </c>
      <c r="L68" s="5">
        <v>2</v>
      </c>
      <c r="M68" s="5">
        <v>2</v>
      </c>
      <c r="N68" s="5">
        <f t="shared" si="20"/>
        <v>4</v>
      </c>
      <c r="O68" s="6">
        <v>2.5</v>
      </c>
      <c r="P68" s="6">
        <v>3</v>
      </c>
      <c r="Q68" s="6">
        <f t="shared" si="21"/>
        <v>5.5</v>
      </c>
      <c r="R68" s="7">
        <v>3.5</v>
      </c>
      <c r="S68" s="7">
        <v>3.5</v>
      </c>
      <c r="T68" s="7">
        <f t="shared" si="22"/>
        <v>7</v>
      </c>
      <c r="U68" s="8">
        <v>2</v>
      </c>
      <c r="V68" s="8">
        <v>1.5</v>
      </c>
      <c r="W68" s="8">
        <f t="shared" si="23"/>
        <v>3.5</v>
      </c>
      <c r="X68" s="9">
        <v>2</v>
      </c>
      <c r="Y68" s="9">
        <v>2</v>
      </c>
      <c r="Z68" s="9">
        <f t="shared" si="24"/>
        <v>4</v>
      </c>
      <c r="AA68" s="11">
        <f t="shared" si="25"/>
        <v>20.5</v>
      </c>
      <c r="AB68" s="11">
        <f t="shared" si="26"/>
        <v>19</v>
      </c>
      <c r="AC68" s="11">
        <f t="shared" si="27"/>
        <v>39.5</v>
      </c>
      <c r="AD68" s="10">
        <v>1</v>
      </c>
      <c r="AE68" s="10">
        <v>1</v>
      </c>
      <c r="AF68" s="10">
        <f t="shared" si="28"/>
        <v>2</v>
      </c>
      <c r="AG68" s="11">
        <f t="shared" si="29"/>
        <v>21.5</v>
      </c>
      <c r="AH68" s="11">
        <f t="shared" si="30"/>
        <v>20</v>
      </c>
      <c r="AI68" s="11">
        <f t="shared" si="31"/>
        <v>41.5</v>
      </c>
      <c r="AJ68" s="11" t="s">
        <v>45</v>
      </c>
      <c r="AK68" s="12">
        <v>0</v>
      </c>
      <c r="AL68" s="12">
        <v>0</v>
      </c>
      <c r="AM68" s="12">
        <f t="shared" si="32"/>
        <v>0</v>
      </c>
      <c r="AN68" s="11">
        <f t="shared" si="33"/>
        <v>41.5</v>
      </c>
    </row>
    <row r="69" spans="1:40" x14ac:dyDescent="0.2">
      <c r="A69" t="s">
        <v>153</v>
      </c>
      <c r="B69" t="s">
        <v>154</v>
      </c>
      <c r="C69" s="2">
        <v>1.5</v>
      </c>
      <c r="D69" s="2">
        <v>2.5</v>
      </c>
      <c r="E69" s="2">
        <f t="shared" si="17"/>
        <v>4</v>
      </c>
      <c r="F69" s="3">
        <v>0</v>
      </c>
      <c r="G69" s="3">
        <v>0</v>
      </c>
      <c r="H69" s="3">
        <f t="shared" si="18"/>
        <v>0</v>
      </c>
      <c r="I69" s="4">
        <v>1</v>
      </c>
      <c r="J69" s="4">
        <v>1</v>
      </c>
      <c r="K69" s="4">
        <f t="shared" si="19"/>
        <v>2</v>
      </c>
      <c r="L69" s="5">
        <v>2.5</v>
      </c>
      <c r="M69" s="5">
        <v>3</v>
      </c>
      <c r="N69" s="5">
        <f t="shared" si="20"/>
        <v>5.5</v>
      </c>
      <c r="O69" s="6">
        <v>1.5</v>
      </c>
      <c r="P69" s="6">
        <v>1.5</v>
      </c>
      <c r="Q69" s="6">
        <f t="shared" si="21"/>
        <v>3</v>
      </c>
      <c r="R69" s="7">
        <v>3.5</v>
      </c>
      <c r="S69" s="7">
        <v>3</v>
      </c>
      <c r="T69" s="7">
        <f t="shared" si="22"/>
        <v>6.5</v>
      </c>
      <c r="U69" s="8">
        <v>3.5</v>
      </c>
      <c r="V69" s="8">
        <v>3.5</v>
      </c>
      <c r="W69" s="8">
        <f t="shared" si="23"/>
        <v>7</v>
      </c>
      <c r="X69" s="9">
        <v>3.5</v>
      </c>
      <c r="Y69" s="9">
        <v>3</v>
      </c>
      <c r="Z69" s="9">
        <f t="shared" si="24"/>
        <v>6.5</v>
      </c>
      <c r="AA69" s="11">
        <f t="shared" si="25"/>
        <v>17</v>
      </c>
      <c r="AB69" s="11">
        <f t="shared" si="26"/>
        <v>17.5</v>
      </c>
      <c r="AC69" s="11">
        <f t="shared" si="27"/>
        <v>34.5</v>
      </c>
      <c r="AD69" s="10">
        <v>0</v>
      </c>
      <c r="AE69" s="10">
        <v>0</v>
      </c>
      <c r="AF69" s="10">
        <f t="shared" si="28"/>
        <v>0</v>
      </c>
      <c r="AG69" s="11">
        <f t="shared" si="29"/>
        <v>17</v>
      </c>
      <c r="AH69" s="11">
        <f t="shared" si="30"/>
        <v>17.5</v>
      </c>
      <c r="AI69" s="11">
        <f t="shared" si="31"/>
        <v>34.5</v>
      </c>
      <c r="AJ69" s="11" t="s">
        <v>45</v>
      </c>
      <c r="AK69" s="12">
        <v>0</v>
      </c>
      <c r="AL69" s="12">
        <v>0</v>
      </c>
      <c r="AM69" s="12">
        <f t="shared" si="32"/>
        <v>0</v>
      </c>
      <c r="AN69" s="11">
        <f t="shared" si="33"/>
        <v>34.5</v>
      </c>
    </row>
    <row r="70" spans="1:40" x14ac:dyDescent="0.2">
      <c r="A70" t="s">
        <v>125</v>
      </c>
      <c r="B70" t="s">
        <v>126</v>
      </c>
      <c r="C70" s="2">
        <v>2.5</v>
      </c>
      <c r="D70" s="2">
        <v>3</v>
      </c>
      <c r="E70" s="2">
        <f t="shared" si="17"/>
        <v>5.5</v>
      </c>
      <c r="F70" s="3">
        <v>3</v>
      </c>
      <c r="G70" s="3">
        <v>3</v>
      </c>
      <c r="H70" s="3">
        <f t="shared" si="18"/>
        <v>6</v>
      </c>
      <c r="I70" s="4">
        <v>2.5</v>
      </c>
      <c r="J70" s="4">
        <v>1.5</v>
      </c>
      <c r="K70" s="4">
        <f t="shared" si="19"/>
        <v>4</v>
      </c>
      <c r="L70" s="5">
        <v>3.5</v>
      </c>
      <c r="M70" s="5">
        <v>4</v>
      </c>
      <c r="N70" s="5">
        <f t="shared" si="20"/>
        <v>7.5</v>
      </c>
      <c r="O70" s="6">
        <v>3</v>
      </c>
      <c r="P70" s="6">
        <v>3</v>
      </c>
      <c r="Q70" s="6">
        <f t="shared" si="21"/>
        <v>6</v>
      </c>
      <c r="R70" s="7">
        <v>3</v>
      </c>
      <c r="S70" s="7">
        <v>3</v>
      </c>
      <c r="T70" s="7">
        <f t="shared" si="22"/>
        <v>6</v>
      </c>
      <c r="U70" s="8">
        <v>3.5</v>
      </c>
      <c r="V70" s="8">
        <v>3</v>
      </c>
      <c r="W70" s="8">
        <f t="shared" si="23"/>
        <v>6.5</v>
      </c>
      <c r="X70" s="9">
        <v>3</v>
      </c>
      <c r="Y70" s="9">
        <v>2</v>
      </c>
      <c r="Z70" s="9">
        <f t="shared" si="24"/>
        <v>5</v>
      </c>
      <c r="AA70" s="11">
        <f t="shared" si="25"/>
        <v>24</v>
      </c>
      <c r="AB70" s="11">
        <f t="shared" si="26"/>
        <v>22.5</v>
      </c>
      <c r="AC70" s="11">
        <f t="shared" si="27"/>
        <v>46.5</v>
      </c>
      <c r="AD70" s="10">
        <v>2.5</v>
      </c>
      <c r="AE70" s="10">
        <v>2.5</v>
      </c>
      <c r="AF70" s="10">
        <f t="shared" si="28"/>
        <v>5</v>
      </c>
      <c r="AG70" s="11">
        <f t="shared" si="29"/>
        <v>26.5</v>
      </c>
      <c r="AH70" s="11">
        <f t="shared" si="30"/>
        <v>25</v>
      </c>
      <c r="AI70" s="11">
        <f t="shared" si="31"/>
        <v>51.5</v>
      </c>
      <c r="AJ70" s="11" t="s">
        <v>45</v>
      </c>
      <c r="AK70" s="12">
        <v>0</v>
      </c>
      <c r="AL70" s="12">
        <v>0</v>
      </c>
      <c r="AM70" s="12">
        <f t="shared" si="32"/>
        <v>0</v>
      </c>
      <c r="AN70" s="11">
        <f t="shared" si="33"/>
        <v>51.5</v>
      </c>
    </row>
    <row r="71" spans="1:40" x14ac:dyDescent="0.2">
      <c r="A71" t="s">
        <v>96</v>
      </c>
      <c r="B71" t="s">
        <v>97</v>
      </c>
      <c r="C71" s="2">
        <v>4.5</v>
      </c>
      <c r="D71" s="2">
        <v>4.5</v>
      </c>
      <c r="E71" s="2">
        <f t="shared" si="17"/>
        <v>9</v>
      </c>
      <c r="F71" s="3">
        <v>2.5</v>
      </c>
      <c r="G71" s="3">
        <v>3</v>
      </c>
      <c r="H71" s="3">
        <f t="shared" si="18"/>
        <v>5.5</v>
      </c>
      <c r="I71" s="4">
        <v>1</v>
      </c>
      <c r="J71" s="4">
        <v>2</v>
      </c>
      <c r="K71" s="4">
        <f t="shared" si="19"/>
        <v>3</v>
      </c>
      <c r="L71" s="5">
        <v>4.5</v>
      </c>
      <c r="M71" s="5">
        <v>4.5</v>
      </c>
      <c r="N71" s="5">
        <f t="shared" si="20"/>
        <v>9</v>
      </c>
      <c r="O71" s="6">
        <v>3</v>
      </c>
      <c r="P71" s="6">
        <v>3</v>
      </c>
      <c r="Q71" s="6">
        <f t="shared" si="21"/>
        <v>6</v>
      </c>
      <c r="R71" s="7">
        <v>3</v>
      </c>
      <c r="S71" s="7">
        <v>3.5</v>
      </c>
      <c r="T71" s="7">
        <f t="shared" si="22"/>
        <v>6.5</v>
      </c>
      <c r="U71" s="8">
        <v>3</v>
      </c>
      <c r="V71" s="8">
        <v>2.5</v>
      </c>
      <c r="W71" s="8">
        <f t="shared" si="23"/>
        <v>5.5</v>
      </c>
      <c r="X71" s="9">
        <v>2.5</v>
      </c>
      <c r="Y71" s="9">
        <v>2.5</v>
      </c>
      <c r="Z71" s="9">
        <f t="shared" si="24"/>
        <v>5</v>
      </c>
      <c r="AA71" s="11">
        <f t="shared" si="25"/>
        <v>24</v>
      </c>
      <c r="AB71" s="11">
        <f t="shared" si="26"/>
        <v>25.5</v>
      </c>
      <c r="AC71" s="11">
        <f t="shared" si="27"/>
        <v>49.5</v>
      </c>
      <c r="AD71" s="10">
        <v>2.5</v>
      </c>
      <c r="AE71" s="10">
        <v>3.5</v>
      </c>
      <c r="AF71" s="10">
        <f t="shared" si="28"/>
        <v>6</v>
      </c>
      <c r="AG71" s="11">
        <f t="shared" si="29"/>
        <v>26.5</v>
      </c>
      <c r="AH71" s="11">
        <f t="shared" si="30"/>
        <v>29</v>
      </c>
      <c r="AI71" s="11">
        <f t="shared" si="31"/>
        <v>55.5</v>
      </c>
      <c r="AJ71" s="11" t="s">
        <v>42</v>
      </c>
      <c r="AK71" s="12">
        <v>3</v>
      </c>
      <c r="AL71" s="12">
        <v>3.5</v>
      </c>
      <c r="AM71" s="12">
        <f t="shared" si="32"/>
        <v>6.5</v>
      </c>
      <c r="AN71" s="11">
        <f t="shared" si="33"/>
        <v>62</v>
      </c>
    </row>
    <row r="72" spans="1:40" x14ac:dyDescent="0.2">
      <c r="A72" t="s">
        <v>48</v>
      </c>
      <c r="B72" t="s">
        <v>49</v>
      </c>
      <c r="C72" s="2">
        <v>3.5</v>
      </c>
      <c r="D72" s="2">
        <v>3.5</v>
      </c>
      <c r="E72" s="2">
        <f t="shared" si="17"/>
        <v>7</v>
      </c>
      <c r="F72" s="3">
        <v>3</v>
      </c>
      <c r="G72" s="3">
        <v>3</v>
      </c>
      <c r="H72" s="3">
        <f t="shared" si="18"/>
        <v>6</v>
      </c>
      <c r="I72" s="4">
        <v>4</v>
      </c>
      <c r="J72" s="4">
        <v>3.5</v>
      </c>
      <c r="K72" s="4">
        <f t="shared" si="19"/>
        <v>7.5</v>
      </c>
      <c r="L72" s="5">
        <v>2</v>
      </c>
      <c r="M72" s="5">
        <v>2</v>
      </c>
      <c r="N72" s="5">
        <f t="shared" si="20"/>
        <v>4</v>
      </c>
      <c r="O72" s="6">
        <v>3.5</v>
      </c>
      <c r="P72" s="6">
        <v>4</v>
      </c>
      <c r="Q72" s="6">
        <f t="shared" si="21"/>
        <v>7.5</v>
      </c>
      <c r="R72" s="7">
        <v>4</v>
      </c>
      <c r="S72" s="7">
        <v>4</v>
      </c>
      <c r="T72" s="7">
        <f t="shared" si="22"/>
        <v>8</v>
      </c>
      <c r="U72" s="8">
        <v>4.5</v>
      </c>
      <c r="V72" s="8">
        <v>4.5</v>
      </c>
      <c r="W72" s="8">
        <f t="shared" si="23"/>
        <v>9</v>
      </c>
      <c r="X72" s="9">
        <v>3</v>
      </c>
      <c r="Y72" s="9">
        <v>3</v>
      </c>
      <c r="Z72" s="9">
        <f t="shared" si="24"/>
        <v>6</v>
      </c>
      <c r="AA72" s="11">
        <f t="shared" si="25"/>
        <v>27.5</v>
      </c>
      <c r="AB72" s="11">
        <f t="shared" si="26"/>
        <v>27.5</v>
      </c>
      <c r="AC72" s="11">
        <f t="shared" si="27"/>
        <v>55</v>
      </c>
      <c r="AD72" s="10">
        <v>3.5</v>
      </c>
      <c r="AE72" s="10">
        <v>3.5</v>
      </c>
      <c r="AF72" s="10">
        <f t="shared" si="28"/>
        <v>7</v>
      </c>
      <c r="AG72" s="11">
        <f t="shared" si="29"/>
        <v>31</v>
      </c>
      <c r="AH72" s="11">
        <f t="shared" si="30"/>
        <v>31</v>
      </c>
      <c r="AI72" s="11">
        <f t="shared" si="31"/>
        <v>62</v>
      </c>
      <c r="AJ72" s="11" t="s">
        <v>42</v>
      </c>
      <c r="AK72" s="12">
        <v>4</v>
      </c>
      <c r="AL72" s="12">
        <v>4.5</v>
      </c>
      <c r="AM72" s="12">
        <f t="shared" si="32"/>
        <v>8.5</v>
      </c>
      <c r="AN72" s="11">
        <f t="shared" si="33"/>
        <v>70.5</v>
      </c>
    </row>
    <row r="73" spans="1:40" x14ac:dyDescent="0.2">
      <c r="A73" t="s">
        <v>43</v>
      </c>
      <c r="B73" t="s">
        <v>44</v>
      </c>
      <c r="C73" s="2">
        <v>3</v>
      </c>
      <c r="D73" s="2">
        <v>3</v>
      </c>
      <c r="E73" s="2">
        <f t="shared" si="17"/>
        <v>6</v>
      </c>
      <c r="F73" s="3">
        <v>2.5</v>
      </c>
      <c r="G73" s="3">
        <v>2</v>
      </c>
      <c r="H73" s="3">
        <f t="shared" si="18"/>
        <v>4.5</v>
      </c>
      <c r="I73" s="4">
        <v>4</v>
      </c>
      <c r="J73" s="4">
        <v>4</v>
      </c>
      <c r="K73" s="4">
        <f t="shared" si="19"/>
        <v>8</v>
      </c>
      <c r="L73" s="5">
        <v>2</v>
      </c>
      <c r="M73" s="5">
        <v>2.5</v>
      </c>
      <c r="N73" s="5">
        <f t="shared" si="20"/>
        <v>4.5</v>
      </c>
      <c r="O73" s="6">
        <v>4</v>
      </c>
      <c r="P73" s="6">
        <v>4</v>
      </c>
      <c r="Q73" s="6">
        <f t="shared" si="21"/>
        <v>8</v>
      </c>
      <c r="R73" s="7">
        <v>4</v>
      </c>
      <c r="S73" s="7">
        <v>4</v>
      </c>
      <c r="T73" s="7">
        <f t="shared" si="22"/>
        <v>8</v>
      </c>
      <c r="U73" s="8">
        <v>4.5</v>
      </c>
      <c r="V73" s="8">
        <v>4</v>
      </c>
      <c r="W73" s="8">
        <f t="shared" si="23"/>
        <v>8.5</v>
      </c>
      <c r="X73" s="9">
        <v>4</v>
      </c>
      <c r="Y73" s="9">
        <v>4.5</v>
      </c>
      <c r="Z73" s="9">
        <f t="shared" si="24"/>
        <v>8.5</v>
      </c>
      <c r="AA73" s="11">
        <f t="shared" si="25"/>
        <v>28</v>
      </c>
      <c r="AB73" s="11">
        <f t="shared" si="26"/>
        <v>28</v>
      </c>
      <c r="AC73" s="11">
        <f t="shared" si="27"/>
        <v>56</v>
      </c>
      <c r="AD73" s="10">
        <v>4</v>
      </c>
      <c r="AE73" s="10">
        <v>3.5</v>
      </c>
      <c r="AF73" s="10">
        <f t="shared" si="28"/>
        <v>7.5</v>
      </c>
      <c r="AG73" s="11">
        <f t="shared" si="29"/>
        <v>32</v>
      </c>
      <c r="AH73" s="11">
        <f t="shared" si="30"/>
        <v>31.5</v>
      </c>
      <c r="AI73" s="11">
        <f t="shared" si="31"/>
        <v>63.5</v>
      </c>
      <c r="AJ73" s="11" t="s">
        <v>45</v>
      </c>
      <c r="AK73" s="12">
        <v>0</v>
      </c>
      <c r="AL73" s="12">
        <v>0</v>
      </c>
      <c r="AM73" s="12">
        <f t="shared" si="32"/>
        <v>0</v>
      </c>
      <c r="AN73" s="11">
        <f t="shared" si="33"/>
        <v>63.5</v>
      </c>
    </row>
    <row r="74" spans="1:40" x14ac:dyDescent="0.2">
      <c r="A74" t="s">
        <v>112</v>
      </c>
      <c r="B74" t="s">
        <v>113</v>
      </c>
      <c r="C74" s="2">
        <v>4</v>
      </c>
      <c r="D74" s="2">
        <v>4</v>
      </c>
      <c r="E74" s="2">
        <f t="shared" si="17"/>
        <v>8</v>
      </c>
      <c r="F74" s="3">
        <v>3.5</v>
      </c>
      <c r="G74" s="3">
        <v>3.5</v>
      </c>
      <c r="H74" s="3">
        <f t="shared" si="18"/>
        <v>7</v>
      </c>
      <c r="I74" s="4">
        <v>2</v>
      </c>
      <c r="J74" s="4">
        <v>1</v>
      </c>
      <c r="K74" s="4">
        <f t="shared" si="19"/>
        <v>3</v>
      </c>
      <c r="L74" s="5">
        <v>4.5</v>
      </c>
      <c r="M74" s="5">
        <v>4.5</v>
      </c>
      <c r="N74" s="5">
        <f t="shared" si="20"/>
        <v>9</v>
      </c>
      <c r="O74" s="6">
        <v>2.5</v>
      </c>
      <c r="P74" s="6">
        <v>2</v>
      </c>
      <c r="Q74" s="6">
        <f t="shared" si="21"/>
        <v>4.5</v>
      </c>
      <c r="R74" s="7">
        <v>3</v>
      </c>
      <c r="S74" s="7">
        <v>3.5</v>
      </c>
      <c r="T74" s="7">
        <f t="shared" si="22"/>
        <v>6.5</v>
      </c>
      <c r="U74" s="8">
        <v>2</v>
      </c>
      <c r="V74" s="8">
        <v>3</v>
      </c>
      <c r="W74" s="8">
        <f t="shared" si="23"/>
        <v>5</v>
      </c>
      <c r="X74" s="9">
        <v>3.5</v>
      </c>
      <c r="Y74" s="9">
        <v>3.5</v>
      </c>
      <c r="Z74" s="9">
        <f t="shared" si="24"/>
        <v>7</v>
      </c>
      <c r="AA74" s="11">
        <f t="shared" si="25"/>
        <v>25</v>
      </c>
      <c r="AB74" s="11">
        <f t="shared" si="26"/>
        <v>25</v>
      </c>
      <c r="AC74" s="11">
        <f t="shared" si="27"/>
        <v>50</v>
      </c>
      <c r="AD74" s="10">
        <v>1</v>
      </c>
      <c r="AE74" s="10">
        <v>1.5</v>
      </c>
      <c r="AF74" s="10">
        <f t="shared" si="28"/>
        <v>2.5</v>
      </c>
      <c r="AG74" s="11">
        <f t="shared" si="29"/>
        <v>26</v>
      </c>
      <c r="AH74" s="11">
        <f t="shared" si="30"/>
        <v>26.5</v>
      </c>
      <c r="AI74" s="11">
        <f t="shared" si="31"/>
        <v>52.5</v>
      </c>
      <c r="AJ74" s="11" t="s">
        <v>42</v>
      </c>
      <c r="AK74" s="12">
        <v>3</v>
      </c>
      <c r="AL74" s="12">
        <v>3</v>
      </c>
      <c r="AM74" s="12">
        <f t="shared" si="32"/>
        <v>6</v>
      </c>
      <c r="AN74" s="11">
        <f t="shared" si="33"/>
        <v>58.5</v>
      </c>
    </row>
    <row r="75" spans="1:40" x14ac:dyDescent="0.2">
      <c r="A75" t="s">
        <v>106</v>
      </c>
      <c r="B75" t="s">
        <v>107</v>
      </c>
      <c r="C75" s="2">
        <v>3</v>
      </c>
      <c r="D75" s="2">
        <v>3</v>
      </c>
      <c r="E75" s="2">
        <f t="shared" si="17"/>
        <v>6</v>
      </c>
      <c r="F75" s="3">
        <v>3</v>
      </c>
      <c r="G75" s="3">
        <v>2.5</v>
      </c>
      <c r="H75" s="3">
        <f t="shared" si="18"/>
        <v>5.5</v>
      </c>
      <c r="I75" s="4">
        <v>2</v>
      </c>
      <c r="J75" s="4">
        <v>1.5</v>
      </c>
      <c r="K75" s="4">
        <f t="shared" si="19"/>
        <v>3.5</v>
      </c>
      <c r="L75" s="5">
        <v>3.5</v>
      </c>
      <c r="M75" s="5">
        <v>4</v>
      </c>
      <c r="N75" s="5">
        <f t="shared" si="20"/>
        <v>7.5</v>
      </c>
      <c r="O75" s="6">
        <v>4</v>
      </c>
      <c r="P75" s="6">
        <v>3</v>
      </c>
      <c r="Q75" s="6">
        <f t="shared" si="21"/>
        <v>7</v>
      </c>
      <c r="R75" s="7">
        <v>4</v>
      </c>
      <c r="S75" s="7">
        <v>4.5</v>
      </c>
      <c r="T75" s="7">
        <f t="shared" si="22"/>
        <v>8.5</v>
      </c>
      <c r="U75" s="8">
        <v>3</v>
      </c>
      <c r="V75" s="8">
        <v>3</v>
      </c>
      <c r="W75" s="8">
        <f t="shared" si="23"/>
        <v>6</v>
      </c>
      <c r="X75" s="9">
        <v>2</v>
      </c>
      <c r="Y75" s="9">
        <v>2.5</v>
      </c>
      <c r="Z75" s="9">
        <f t="shared" si="24"/>
        <v>4.5</v>
      </c>
      <c r="AA75" s="11">
        <f t="shared" si="25"/>
        <v>24.5</v>
      </c>
      <c r="AB75" s="11">
        <f t="shared" si="26"/>
        <v>24</v>
      </c>
      <c r="AC75" s="11">
        <f t="shared" si="27"/>
        <v>48.5</v>
      </c>
      <c r="AD75" s="10">
        <v>2.5</v>
      </c>
      <c r="AE75" s="10">
        <v>3</v>
      </c>
      <c r="AF75" s="10">
        <f t="shared" si="28"/>
        <v>5.5</v>
      </c>
      <c r="AG75" s="11">
        <f t="shared" si="29"/>
        <v>27</v>
      </c>
      <c r="AH75" s="11">
        <f t="shared" si="30"/>
        <v>27</v>
      </c>
      <c r="AI75" s="11">
        <f t="shared" si="31"/>
        <v>54</v>
      </c>
      <c r="AJ75" s="11" t="s">
        <v>42</v>
      </c>
      <c r="AK75" s="12">
        <v>0</v>
      </c>
      <c r="AL75" s="12">
        <v>0</v>
      </c>
      <c r="AM75" s="12">
        <f t="shared" si="32"/>
        <v>0</v>
      </c>
      <c r="AN75" s="11">
        <f t="shared" si="33"/>
        <v>54</v>
      </c>
    </row>
    <row r="76" spans="1:40" x14ac:dyDescent="0.2">
      <c r="A76" t="s">
        <v>92</v>
      </c>
      <c r="B76" t="s">
        <v>93</v>
      </c>
      <c r="C76" s="2">
        <v>2.5</v>
      </c>
      <c r="D76" s="2">
        <v>3</v>
      </c>
      <c r="E76" s="2">
        <f t="shared" si="17"/>
        <v>5.5</v>
      </c>
      <c r="F76" s="3">
        <v>4.5</v>
      </c>
      <c r="G76" s="3">
        <v>4.5</v>
      </c>
      <c r="H76" s="3">
        <f t="shared" si="18"/>
        <v>9</v>
      </c>
      <c r="I76" s="4">
        <v>3.5</v>
      </c>
      <c r="J76" s="4">
        <v>3.5</v>
      </c>
      <c r="K76" s="4">
        <f t="shared" si="19"/>
        <v>7</v>
      </c>
      <c r="L76" s="5">
        <v>2</v>
      </c>
      <c r="M76" s="5">
        <v>2</v>
      </c>
      <c r="N76" s="5">
        <f t="shared" si="20"/>
        <v>4</v>
      </c>
      <c r="O76" s="6">
        <v>3</v>
      </c>
      <c r="P76" s="6">
        <v>3</v>
      </c>
      <c r="Q76" s="6">
        <f t="shared" si="21"/>
        <v>6</v>
      </c>
      <c r="R76" s="7">
        <v>2.5</v>
      </c>
      <c r="S76" s="7">
        <v>3</v>
      </c>
      <c r="T76" s="7">
        <f t="shared" si="22"/>
        <v>5.5</v>
      </c>
      <c r="U76" s="8">
        <v>2.5</v>
      </c>
      <c r="V76" s="8">
        <v>3</v>
      </c>
      <c r="W76" s="8">
        <f t="shared" si="23"/>
        <v>5.5</v>
      </c>
      <c r="X76" s="9">
        <v>3.5</v>
      </c>
      <c r="Y76" s="9">
        <v>3</v>
      </c>
      <c r="Z76" s="9">
        <f t="shared" si="24"/>
        <v>6.5</v>
      </c>
      <c r="AA76" s="11">
        <f t="shared" si="25"/>
        <v>24</v>
      </c>
      <c r="AB76" s="11">
        <f t="shared" si="26"/>
        <v>25</v>
      </c>
      <c r="AC76" s="11">
        <f t="shared" si="27"/>
        <v>49</v>
      </c>
      <c r="AD76" s="10">
        <v>3.5</v>
      </c>
      <c r="AE76" s="10">
        <v>3.5</v>
      </c>
      <c r="AF76" s="10">
        <f t="shared" si="28"/>
        <v>7</v>
      </c>
      <c r="AG76" s="11">
        <f t="shared" si="29"/>
        <v>27.5</v>
      </c>
      <c r="AH76" s="11">
        <f t="shared" si="30"/>
        <v>28.5</v>
      </c>
      <c r="AI76" s="11">
        <f t="shared" si="31"/>
        <v>56</v>
      </c>
      <c r="AJ76" s="11" t="s">
        <v>42</v>
      </c>
      <c r="AK76" s="12">
        <v>0</v>
      </c>
      <c r="AL76" s="12">
        <v>0</v>
      </c>
      <c r="AM76" s="12">
        <f t="shared" si="32"/>
        <v>0</v>
      </c>
      <c r="AN76" s="11">
        <f t="shared" si="33"/>
        <v>56</v>
      </c>
    </row>
    <row r="77" spans="1:40" s="11" customFormat="1" x14ac:dyDescent="0.2">
      <c r="A77" s="11" t="s">
        <v>168</v>
      </c>
      <c r="B77" s="11" t="s">
        <v>179</v>
      </c>
      <c r="C77" s="2">
        <v>3</v>
      </c>
      <c r="D77" s="2">
        <v>3</v>
      </c>
      <c r="E77" s="2">
        <f t="shared" si="17"/>
        <v>6</v>
      </c>
      <c r="F77" s="3">
        <v>3.5</v>
      </c>
      <c r="G77" s="3">
        <v>3.5</v>
      </c>
      <c r="H77" s="3">
        <f t="shared" si="18"/>
        <v>7</v>
      </c>
      <c r="I77" s="4">
        <v>2.5</v>
      </c>
      <c r="J77" s="4">
        <v>3</v>
      </c>
      <c r="K77" s="4">
        <f t="shared" si="19"/>
        <v>5.5</v>
      </c>
      <c r="L77" s="5">
        <v>1.5</v>
      </c>
      <c r="M77" s="5">
        <v>2</v>
      </c>
      <c r="N77" s="5">
        <f t="shared" si="20"/>
        <v>3.5</v>
      </c>
      <c r="O77" s="6">
        <v>3</v>
      </c>
      <c r="P77" s="6">
        <v>3.5</v>
      </c>
      <c r="Q77" s="6">
        <f t="shared" si="21"/>
        <v>6.5</v>
      </c>
      <c r="R77" s="7">
        <v>3</v>
      </c>
      <c r="S77" s="7">
        <v>2.5</v>
      </c>
      <c r="T77" s="7">
        <f t="shared" si="22"/>
        <v>5.5</v>
      </c>
      <c r="U77" s="8">
        <v>3.5</v>
      </c>
      <c r="V77" s="8">
        <v>3.5</v>
      </c>
      <c r="W77" s="8">
        <f t="shared" si="23"/>
        <v>7</v>
      </c>
      <c r="X77" s="9">
        <v>4</v>
      </c>
      <c r="Y77" s="9">
        <v>4</v>
      </c>
      <c r="Z77" s="9">
        <f t="shared" si="24"/>
        <v>8</v>
      </c>
      <c r="AA77" s="11">
        <f t="shared" si="25"/>
        <v>24</v>
      </c>
      <c r="AB77" s="11">
        <f t="shared" si="26"/>
        <v>25</v>
      </c>
      <c r="AC77" s="11">
        <f t="shared" si="27"/>
        <v>49</v>
      </c>
      <c r="AD77" s="10">
        <v>3.5</v>
      </c>
      <c r="AE77" s="10">
        <v>3.5</v>
      </c>
      <c r="AF77" s="10">
        <f t="shared" si="28"/>
        <v>7</v>
      </c>
      <c r="AG77" s="11">
        <f t="shared" si="29"/>
        <v>27.5</v>
      </c>
      <c r="AH77" s="11">
        <f t="shared" si="30"/>
        <v>28.5</v>
      </c>
      <c r="AI77" s="11">
        <f t="shared" si="31"/>
        <v>56</v>
      </c>
      <c r="AJ77" s="11" t="s">
        <v>45</v>
      </c>
      <c r="AK77" s="12">
        <v>0</v>
      </c>
      <c r="AL77" s="12">
        <v>0</v>
      </c>
      <c r="AM77" s="12">
        <f t="shared" si="32"/>
        <v>0</v>
      </c>
      <c r="AN77" s="11">
        <f t="shared" si="33"/>
        <v>56</v>
      </c>
    </row>
    <row r="78" spans="1:40" s="11" customFormat="1" x14ac:dyDescent="0.2"/>
    <row r="79" spans="1:40" s="11" customFormat="1" x14ac:dyDescent="0.2"/>
    <row r="80" spans="1:40" s="11" customFormat="1" x14ac:dyDescent="0.2"/>
    <row r="81" s="11" customFormat="1" x14ac:dyDescent="0.2"/>
    <row r="82" s="11" customFormat="1" x14ac:dyDescent="0.2"/>
    <row r="83" s="11" customFormat="1" x14ac:dyDescent="0.2"/>
    <row r="84" s="11" customFormat="1" x14ac:dyDescent="0.2"/>
    <row r="85" s="11" customFormat="1" x14ac:dyDescent="0.2"/>
    <row r="86" s="11" customFormat="1" x14ac:dyDescent="0.2"/>
    <row r="87" s="11" customFormat="1" x14ac:dyDescent="0.2"/>
    <row r="88" s="11" customFormat="1" x14ac:dyDescent="0.2"/>
    <row r="89" s="11" customFormat="1" x14ac:dyDescent="0.2"/>
    <row r="90" s="11" customFormat="1" x14ac:dyDescent="0.2"/>
    <row r="91" s="11" customFormat="1" x14ac:dyDescent="0.2"/>
    <row r="92" s="11" customFormat="1" x14ac:dyDescent="0.2"/>
    <row r="93" s="11" customFormat="1" x14ac:dyDescent="0.2"/>
    <row r="94" s="11" customFormat="1" x14ac:dyDescent="0.2"/>
    <row r="95" s="11" customFormat="1" x14ac:dyDescent="0.2"/>
    <row r="96" s="11" customFormat="1" x14ac:dyDescent="0.2"/>
    <row r="97" s="11" customFormat="1" x14ac:dyDescent="0.2"/>
    <row r="98" s="11" customFormat="1" x14ac:dyDescent="0.2"/>
    <row r="99" s="11" customFormat="1" x14ac:dyDescent="0.2"/>
    <row r="100" s="11" customFormat="1" x14ac:dyDescent="0.2"/>
    <row r="101" s="11" customFormat="1" x14ac:dyDescent="0.2"/>
    <row r="102" s="11" customFormat="1" x14ac:dyDescent="0.2"/>
    <row r="103" s="11" customFormat="1" x14ac:dyDescent="0.2"/>
    <row r="104" s="11" customFormat="1" x14ac:dyDescent="0.2"/>
    <row r="105" s="11" customFormat="1" x14ac:dyDescent="0.2"/>
    <row r="106" s="11" customFormat="1" x14ac:dyDescent="0.2"/>
    <row r="107" s="11" customFormat="1" x14ac:dyDescent="0.2"/>
    <row r="108" s="11" customFormat="1" x14ac:dyDescent="0.2"/>
    <row r="109" s="11" customFormat="1" x14ac:dyDescent="0.2"/>
    <row r="110" s="11" customFormat="1" x14ac:dyDescent="0.2"/>
    <row r="111" s="11" customFormat="1" x14ac:dyDescent="0.2"/>
    <row r="112" s="11" customFormat="1" x14ac:dyDescent="0.2"/>
    <row r="113" s="11" customFormat="1" x14ac:dyDescent="0.2"/>
    <row r="114" s="11" customFormat="1" x14ac:dyDescent="0.2"/>
    <row r="115" s="11" customFormat="1" x14ac:dyDescent="0.2"/>
    <row r="116" s="11" customFormat="1" x14ac:dyDescent="0.2"/>
    <row r="117" s="11" customFormat="1" x14ac:dyDescent="0.2"/>
    <row r="118" s="11" customFormat="1" x14ac:dyDescent="0.2"/>
    <row r="119" s="11" customFormat="1" x14ac:dyDescent="0.2"/>
    <row r="120" s="11" customFormat="1" x14ac:dyDescent="0.2"/>
    <row r="121" s="11" customFormat="1" x14ac:dyDescent="0.2"/>
    <row r="122" s="11" customFormat="1" x14ac:dyDescent="0.2"/>
    <row r="123" s="11" customFormat="1" x14ac:dyDescent="0.2"/>
    <row r="124" s="11" customFormat="1" x14ac:dyDescent="0.2"/>
    <row r="125" s="11" customFormat="1" x14ac:dyDescent="0.2"/>
    <row r="126" s="11" customFormat="1" x14ac:dyDescent="0.2"/>
    <row r="127" s="11" customFormat="1" x14ac:dyDescent="0.2"/>
    <row r="128" s="11" customFormat="1" x14ac:dyDescent="0.2"/>
    <row r="129" s="11" customFormat="1" x14ac:dyDescent="0.2"/>
    <row r="130" s="11" customFormat="1" x14ac:dyDescent="0.2"/>
    <row r="131" s="11" customFormat="1" x14ac:dyDescent="0.2"/>
    <row r="132" s="11" customFormat="1" x14ac:dyDescent="0.2"/>
    <row r="133" s="11" customFormat="1" x14ac:dyDescent="0.2"/>
    <row r="134" s="11" customFormat="1" x14ac:dyDescent="0.2"/>
    <row r="135" s="11" customFormat="1" x14ac:dyDescent="0.2"/>
    <row r="136" s="11" customFormat="1" x14ac:dyDescent="0.2"/>
    <row r="137" s="11" customFormat="1" x14ac:dyDescent="0.2"/>
    <row r="138" s="11" customFormat="1" x14ac:dyDescent="0.2"/>
    <row r="139" s="11" customFormat="1" x14ac:dyDescent="0.2"/>
    <row r="140" s="11" customFormat="1" x14ac:dyDescent="0.2"/>
    <row r="141" s="11" customFormat="1" x14ac:dyDescent="0.2"/>
    <row r="142" s="11" customFormat="1" x14ac:dyDescent="0.2"/>
    <row r="143" s="11" customFormat="1" x14ac:dyDescent="0.2"/>
    <row r="144" s="11" customFormat="1" x14ac:dyDescent="0.2"/>
    <row r="145" s="11" customFormat="1" x14ac:dyDescent="0.2"/>
    <row r="146" s="11" customFormat="1" x14ac:dyDescent="0.2"/>
    <row r="147" s="11" customFormat="1" x14ac:dyDescent="0.2"/>
    <row r="148" s="11" customFormat="1" x14ac:dyDescent="0.2"/>
    <row r="149" s="11" customFormat="1" x14ac:dyDescent="0.2"/>
    <row r="150" s="11" customFormat="1" x14ac:dyDescent="0.2"/>
    <row r="151" s="11" customFormat="1" x14ac:dyDescent="0.2"/>
    <row r="152" s="11" customFormat="1" x14ac:dyDescent="0.2"/>
    <row r="153" s="11" customFormat="1" x14ac:dyDescent="0.2"/>
    <row r="154" s="11" customFormat="1" x14ac:dyDescent="0.2"/>
    <row r="155" s="11" customFormat="1" x14ac:dyDescent="0.2"/>
    <row r="156" s="11" customFormat="1" x14ac:dyDescent="0.2"/>
    <row r="157" s="11" customFormat="1" x14ac:dyDescent="0.2"/>
    <row r="158" s="11" customFormat="1" x14ac:dyDescent="0.2"/>
    <row r="159" s="11" customFormat="1" x14ac:dyDescent="0.2"/>
    <row r="160" s="11" customFormat="1" x14ac:dyDescent="0.2"/>
    <row r="161" s="11" customFormat="1" x14ac:dyDescent="0.2"/>
    <row r="162" s="11" customFormat="1" x14ac:dyDescent="0.2"/>
    <row r="163" s="11" customFormat="1" x14ac:dyDescent="0.2"/>
    <row r="164" s="11" customFormat="1" x14ac:dyDescent="0.2"/>
    <row r="165" s="11" customFormat="1" x14ac:dyDescent="0.2"/>
    <row r="166" s="11" customFormat="1" x14ac:dyDescent="0.2"/>
    <row r="167" s="11" customFormat="1" x14ac:dyDescent="0.2"/>
    <row r="168" s="11" customFormat="1" x14ac:dyDescent="0.2"/>
    <row r="169" s="11" customFormat="1" x14ac:dyDescent="0.2"/>
    <row r="170" s="11" customFormat="1" x14ac:dyDescent="0.2"/>
    <row r="171" s="11" customFormat="1" x14ac:dyDescent="0.2"/>
    <row r="172" s="11" customFormat="1" x14ac:dyDescent="0.2"/>
    <row r="173" s="11" customFormat="1" x14ac:dyDescent="0.2"/>
    <row r="174" s="11" customFormat="1" x14ac:dyDescent="0.2"/>
    <row r="175" s="11" customFormat="1" x14ac:dyDescent="0.2"/>
    <row r="176" s="11" customFormat="1" x14ac:dyDescent="0.2"/>
    <row r="177" s="11" customFormat="1" x14ac:dyDescent="0.2"/>
    <row r="178" s="11" customFormat="1" x14ac:dyDescent="0.2"/>
    <row r="179" s="11" customFormat="1" x14ac:dyDescent="0.2"/>
    <row r="180" s="11" customFormat="1" x14ac:dyDescent="0.2"/>
    <row r="181" s="11" customFormat="1" x14ac:dyDescent="0.2"/>
    <row r="182" s="11" customFormat="1" x14ac:dyDescent="0.2"/>
    <row r="183" s="11" customFormat="1" x14ac:dyDescent="0.2"/>
    <row r="184" s="11" customFormat="1" x14ac:dyDescent="0.2"/>
    <row r="185" s="11" customFormat="1" x14ac:dyDescent="0.2"/>
    <row r="186" s="11" customFormat="1" x14ac:dyDescent="0.2"/>
    <row r="187" s="11" customFormat="1" x14ac:dyDescent="0.2"/>
    <row r="188" s="11" customFormat="1" x14ac:dyDescent="0.2"/>
    <row r="189" s="11" customFormat="1" x14ac:dyDescent="0.2"/>
    <row r="190" s="11" customFormat="1" x14ac:dyDescent="0.2"/>
    <row r="191" s="11" customFormat="1" x14ac:dyDescent="0.2"/>
    <row r="192" s="11" customFormat="1" x14ac:dyDescent="0.2"/>
    <row r="193" s="11" customFormat="1" x14ac:dyDescent="0.2"/>
    <row r="194" s="11" customFormat="1" x14ac:dyDescent="0.2"/>
    <row r="195" s="11" customFormat="1" x14ac:dyDescent="0.2"/>
    <row r="196" s="11" customFormat="1" x14ac:dyDescent="0.2"/>
    <row r="197" s="11" customFormat="1" x14ac:dyDescent="0.2"/>
    <row r="198" s="11" customFormat="1" x14ac:dyDescent="0.2"/>
    <row r="199" s="11" customFormat="1" x14ac:dyDescent="0.2"/>
    <row r="200" s="11" customFormat="1" x14ac:dyDescent="0.2"/>
    <row r="201" s="11" customFormat="1" x14ac:dyDescent="0.2"/>
    <row r="202" s="11" customFormat="1" x14ac:dyDescent="0.2"/>
    <row r="203" s="11" customFormat="1" x14ac:dyDescent="0.2"/>
    <row r="204" s="11" customFormat="1" x14ac:dyDescent="0.2"/>
    <row r="205" s="11" customFormat="1" x14ac:dyDescent="0.2"/>
    <row r="206" s="11" customFormat="1" x14ac:dyDescent="0.2"/>
    <row r="207" s="11" customFormat="1" x14ac:dyDescent="0.2"/>
    <row r="208" s="11" customFormat="1" x14ac:dyDescent="0.2"/>
    <row r="209" s="11" customFormat="1" x14ac:dyDescent="0.2"/>
    <row r="210" s="11" customFormat="1" x14ac:dyDescent="0.2"/>
    <row r="211" s="11" customFormat="1" x14ac:dyDescent="0.2"/>
    <row r="212" s="11" customFormat="1" x14ac:dyDescent="0.2"/>
    <row r="213" s="11" customFormat="1" x14ac:dyDescent="0.2"/>
    <row r="214" s="11" customFormat="1" x14ac:dyDescent="0.2"/>
    <row r="215" s="11" customFormat="1" x14ac:dyDescent="0.2"/>
    <row r="216" s="11" customFormat="1" x14ac:dyDescent="0.2"/>
    <row r="217" s="11" customFormat="1" x14ac:dyDescent="0.2"/>
    <row r="218" s="11" customFormat="1" x14ac:dyDescent="0.2"/>
    <row r="219" s="11" customFormat="1" x14ac:dyDescent="0.2"/>
    <row r="220" s="11" customFormat="1" x14ac:dyDescent="0.2"/>
    <row r="221" s="11" customFormat="1" x14ac:dyDescent="0.2"/>
    <row r="222" s="11" customFormat="1" x14ac:dyDescent="0.2"/>
    <row r="223" s="11" customFormat="1" x14ac:dyDescent="0.2"/>
    <row r="224" s="11" customFormat="1" x14ac:dyDescent="0.2"/>
    <row r="225" s="11" customFormat="1" x14ac:dyDescent="0.2"/>
    <row r="226" s="11" customFormat="1" x14ac:dyDescent="0.2"/>
    <row r="227" s="11" customFormat="1" x14ac:dyDescent="0.2"/>
    <row r="228" s="11" customFormat="1" x14ac:dyDescent="0.2"/>
    <row r="229" s="11" customFormat="1" x14ac:dyDescent="0.2"/>
    <row r="230" s="11" customFormat="1" x14ac:dyDescent="0.2"/>
    <row r="231" s="11" customFormat="1" x14ac:dyDescent="0.2"/>
    <row r="232" s="11" customFormat="1" x14ac:dyDescent="0.2"/>
    <row r="233" s="11" customFormat="1" x14ac:dyDescent="0.2"/>
    <row r="234" s="11" customFormat="1" x14ac:dyDescent="0.2"/>
    <row r="235" s="11" customFormat="1" x14ac:dyDescent="0.2"/>
    <row r="236" s="11" customFormat="1" x14ac:dyDescent="0.2"/>
    <row r="237" s="11" customFormat="1" x14ac:dyDescent="0.2"/>
    <row r="238" s="11" customFormat="1" x14ac:dyDescent="0.2"/>
    <row r="239" s="11" customFormat="1" x14ac:dyDescent="0.2"/>
    <row r="240" s="11" customFormat="1" x14ac:dyDescent="0.2"/>
    <row r="241" s="11" customFormat="1" x14ac:dyDescent="0.2"/>
    <row r="242" s="11" customFormat="1" x14ac:dyDescent="0.2"/>
    <row r="243" s="11" customFormat="1" x14ac:dyDescent="0.2"/>
    <row r="244" s="11" customFormat="1" x14ac:dyDescent="0.2"/>
    <row r="245" s="11" customFormat="1" x14ac:dyDescent="0.2"/>
    <row r="246" s="11" customFormat="1" x14ac:dyDescent="0.2"/>
    <row r="247" s="11" customFormat="1" x14ac:dyDescent="0.2"/>
    <row r="248" s="11" customFormat="1" x14ac:dyDescent="0.2"/>
    <row r="249" s="11" customFormat="1" x14ac:dyDescent="0.2"/>
    <row r="250" s="11" customFormat="1" x14ac:dyDescent="0.2"/>
    <row r="251" s="11" customFormat="1" x14ac:dyDescent="0.2"/>
    <row r="252" s="11" customFormat="1" x14ac:dyDescent="0.2"/>
    <row r="253" s="11" customFormat="1" x14ac:dyDescent="0.2"/>
    <row r="254" s="11" customFormat="1" x14ac:dyDescent="0.2"/>
    <row r="255" s="11" customFormat="1" x14ac:dyDescent="0.2"/>
    <row r="256" s="11" customFormat="1" x14ac:dyDescent="0.2"/>
    <row r="257" s="11" customFormat="1" x14ac:dyDescent="0.2"/>
    <row r="258" s="11" customFormat="1" x14ac:dyDescent="0.2"/>
    <row r="259" s="11" customFormat="1" x14ac:dyDescent="0.2"/>
    <row r="260" s="11" customFormat="1" x14ac:dyDescent="0.2"/>
    <row r="261" s="11" customFormat="1" x14ac:dyDescent="0.2"/>
    <row r="262" s="11" customFormat="1" x14ac:dyDescent="0.2"/>
    <row r="263" s="11" customFormat="1" x14ac:dyDescent="0.2"/>
    <row r="264" s="11" customFormat="1" x14ac:dyDescent="0.2"/>
    <row r="265" s="11" customFormat="1" x14ac:dyDescent="0.2"/>
    <row r="266" s="11" customFormat="1" x14ac:dyDescent="0.2"/>
    <row r="267" s="11" customFormat="1" x14ac:dyDescent="0.2"/>
    <row r="268" s="11" customFormat="1" x14ac:dyDescent="0.2"/>
    <row r="269" s="11" customFormat="1" x14ac:dyDescent="0.2"/>
    <row r="270" s="11" customFormat="1" x14ac:dyDescent="0.2"/>
    <row r="271" s="11" customFormat="1" x14ac:dyDescent="0.2"/>
    <row r="272" s="11" customFormat="1" x14ac:dyDescent="0.2"/>
    <row r="273" s="11" customFormat="1" x14ac:dyDescent="0.2"/>
    <row r="274" s="11" customFormat="1" x14ac:dyDescent="0.2"/>
    <row r="275" s="11" customFormat="1" x14ac:dyDescent="0.2"/>
    <row r="276" s="11" customFormat="1" x14ac:dyDescent="0.2"/>
    <row r="277" s="11" customFormat="1" x14ac:dyDescent="0.2"/>
    <row r="278" s="11" customFormat="1" x14ac:dyDescent="0.2"/>
    <row r="279" s="11" customFormat="1" x14ac:dyDescent="0.2"/>
    <row r="280" s="11" customFormat="1" x14ac:dyDescent="0.2"/>
    <row r="281" s="11" customFormat="1" x14ac:dyDescent="0.2"/>
    <row r="282" s="11" customFormat="1" x14ac:dyDescent="0.2"/>
    <row r="283" s="11" customFormat="1" x14ac:dyDescent="0.2"/>
    <row r="284" s="11" customFormat="1" x14ac:dyDescent="0.2"/>
    <row r="285" s="11" customFormat="1" x14ac:dyDescent="0.2"/>
    <row r="286" s="11" customFormat="1" x14ac:dyDescent="0.2"/>
    <row r="287" s="11" customFormat="1" x14ac:dyDescent="0.2"/>
    <row r="288" s="11" customFormat="1" x14ac:dyDescent="0.2"/>
    <row r="289" s="11" customFormat="1" x14ac:dyDescent="0.2"/>
    <row r="290" s="11" customFormat="1" x14ac:dyDescent="0.2"/>
    <row r="291" s="11" customFormat="1" x14ac:dyDescent="0.2"/>
    <row r="292" s="11" customFormat="1" x14ac:dyDescent="0.2"/>
    <row r="293" s="11" customFormat="1" x14ac:dyDescent="0.2"/>
    <row r="294" s="11" customFormat="1" x14ac:dyDescent="0.2"/>
    <row r="295" s="11" customFormat="1" x14ac:dyDescent="0.2"/>
    <row r="296" s="11" customFormat="1" x14ac:dyDescent="0.2"/>
    <row r="297" s="11" customFormat="1" x14ac:dyDescent="0.2"/>
    <row r="298" s="11" customFormat="1" x14ac:dyDescent="0.2"/>
    <row r="299" s="11" customFormat="1" x14ac:dyDescent="0.2"/>
    <row r="300" s="11" customFormat="1" x14ac:dyDescent="0.2"/>
    <row r="301" s="11" customFormat="1" x14ac:dyDescent="0.2"/>
    <row r="302" s="11" customFormat="1" x14ac:dyDescent="0.2"/>
    <row r="303" s="11" customFormat="1" x14ac:dyDescent="0.2"/>
    <row r="304" s="11" customFormat="1" x14ac:dyDescent="0.2"/>
    <row r="305" s="11" customFormat="1" x14ac:dyDescent="0.2"/>
    <row r="306" s="11" customFormat="1" x14ac:dyDescent="0.2"/>
    <row r="307" s="11" customFormat="1" x14ac:dyDescent="0.2"/>
    <row r="308" s="11" customFormat="1" x14ac:dyDescent="0.2"/>
    <row r="309" s="11" customFormat="1" x14ac:dyDescent="0.2"/>
    <row r="310" s="11" customFormat="1" x14ac:dyDescent="0.2"/>
    <row r="311" s="11" customFormat="1" x14ac:dyDescent="0.2"/>
    <row r="312" s="11" customFormat="1" x14ac:dyDescent="0.2"/>
    <row r="313" s="11" customFormat="1" x14ac:dyDescent="0.2"/>
    <row r="314" s="11" customFormat="1" x14ac:dyDescent="0.2"/>
    <row r="315" s="11" customFormat="1" x14ac:dyDescent="0.2"/>
    <row r="316" s="11" customFormat="1" x14ac:dyDescent="0.2"/>
    <row r="317" s="11" customFormat="1" x14ac:dyDescent="0.2"/>
    <row r="318" s="11" customFormat="1" x14ac:dyDescent="0.2"/>
    <row r="319" s="11" customFormat="1" x14ac:dyDescent="0.2"/>
    <row r="320" s="11" customFormat="1" x14ac:dyDescent="0.2"/>
    <row r="321" s="11" customFormat="1" x14ac:dyDescent="0.2"/>
    <row r="322" s="11" customFormat="1" x14ac:dyDescent="0.2"/>
    <row r="323" s="11" customFormat="1" x14ac:dyDescent="0.2"/>
    <row r="324" s="11" customFormat="1" x14ac:dyDescent="0.2"/>
    <row r="325" s="11" customFormat="1" x14ac:dyDescent="0.2"/>
    <row r="326" s="11" customFormat="1" x14ac:dyDescent="0.2"/>
    <row r="327" s="11" customFormat="1" x14ac:dyDescent="0.2"/>
    <row r="328" s="11" customFormat="1" x14ac:dyDescent="0.2"/>
    <row r="329" s="11" customFormat="1" x14ac:dyDescent="0.2"/>
    <row r="330" s="11" customFormat="1" x14ac:dyDescent="0.2"/>
    <row r="331" s="11" customFormat="1" x14ac:dyDescent="0.2"/>
    <row r="332" s="11" customFormat="1" x14ac:dyDescent="0.2"/>
    <row r="333" s="11" customFormat="1" x14ac:dyDescent="0.2"/>
    <row r="334" s="11" customFormat="1" x14ac:dyDescent="0.2"/>
    <row r="335" s="11" customFormat="1" x14ac:dyDescent="0.2"/>
    <row r="336" s="11" customFormat="1" x14ac:dyDescent="0.2"/>
    <row r="337" s="11" customFormat="1" x14ac:dyDescent="0.2"/>
    <row r="338" s="11" customFormat="1" x14ac:dyDescent="0.2"/>
    <row r="339" s="11" customFormat="1" x14ac:dyDescent="0.2"/>
    <row r="340" s="11" customFormat="1" x14ac:dyDescent="0.2"/>
    <row r="341" s="11" customFormat="1" x14ac:dyDescent="0.2"/>
    <row r="342" s="11" customFormat="1" x14ac:dyDescent="0.2"/>
    <row r="343" s="11" customFormat="1" x14ac:dyDescent="0.2"/>
    <row r="344" s="11" customFormat="1" x14ac:dyDescent="0.2"/>
    <row r="345" s="11" customFormat="1" x14ac:dyDescent="0.2"/>
    <row r="346" s="11" customFormat="1" x14ac:dyDescent="0.2"/>
    <row r="347" s="11" customFormat="1" x14ac:dyDescent="0.2"/>
    <row r="348" s="11" customFormat="1" x14ac:dyDescent="0.2"/>
    <row r="349" s="11" customFormat="1" x14ac:dyDescent="0.2"/>
    <row r="350" s="11" customFormat="1" x14ac:dyDescent="0.2"/>
    <row r="351" s="11" customFormat="1" x14ac:dyDescent="0.2"/>
    <row r="352" s="11" customFormat="1" x14ac:dyDescent="0.2"/>
    <row r="353" s="11" customFormat="1" x14ac:dyDescent="0.2"/>
    <row r="354" s="11" customFormat="1" x14ac:dyDescent="0.2"/>
    <row r="355" s="11" customFormat="1" x14ac:dyDescent="0.2"/>
    <row r="356" s="11" customFormat="1" x14ac:dyDescent="0.2"/>
    <row r="357" s="11" customFormat="1" x14ac:dyDescent="0.2"/>
    <row r="358" s="11" customFormat="1" x14ac:dyDescent="0.2"/>
    <row r="359" s="11" customFormat="1" x14ac:dyDescent="0.2"/>
    <row r="360" s="11" customFormat="1" x14ac:dyDescent="0.2"/>
    <row r="361" s="11" customFormat="1" x14ac:dyDescent="0.2"/>
    <row r="362" s="11" customFormat="1" x14ac:dyDescent="0.2"/>
    <row r="363" s="11" customFormat="1" x14ac:dyDescent="0.2"/>
    <row r="364" s="11" customFormat="1" x14ac:dyDescent="0.2"/>
    <row r="365" s="11" customFormat="1" x14ac:dyDescent="0.2"/>
    <row r="366" s="11" customFormat="1" x14ac:dyDescent="0.2"/>
    <row r="367" s="11" customFormat="1" x14ac:dyDescent="0.2"/>
    <row r="368" s="11" customFormat="1" x14ac:dyDescent="0.2"/>
    <row r="369" s="11" customFormat="1" x14ac:dyDescent="0.2"/>
    <row r="370" s="11" customFormat="1" x14ac:dyDescent="0.2"/>
    <row r="371" s="11" customFormat="1" x14ac:dyDescent="0.2"/>
    <row r="372" s="11" customFormat="1" x14ac:dyDescent="0.2"/>
    <row r="373" s="11" customFormat="1" x14ac:dyDescent="0.2"/>
    <row r="374" s="11" customFormat="1" x14ac:dyDescent="0.2"/>
    <row r="375" s="11" customFormat="1" x14ac:dyDescent="0.2"/>
    <row r="376" s="11" customFormat="1" x14ac:dyDescent="0.2"/>
    <row r="377" s="11" customFormat="1" x14ac:dyDescent="0.2"/>
    <row r="378" s="11" customFormat="1" x14ac:dyDescent="0.2"/>
    <row r="379" s="11" customFormat="1" x14ac:dyDescent="0.2"/>
    <row r="380" s="11" customFormat="1" x14ac:dyDescent="0.2"/>
    <row r="381" s="11" customFormat="1" x14ac:dyDescent="0.2"/>
    <row r="382" s="11" customFormat="1" x14ac:dyDescent="0.2"/>
    <row r="383" s="11" customFormat="1" x14ac:dyDescent="0.2"/>
    <row r="384" s="11" customFormat="1" x14ac:dyDescent="0.2"/>
    <row r="385" s="11" customFormat="1" x14ac:dyDescent="0.2"/>
    <row r="386" s="11" customFormat="1" x14ac:dyDescent="0.2"/>
    <row r="387" s="11" customFormat="1" x14ac:dyDescent="0.2"/>
    <row r="388" s="11" customFormat="1" x14ac:dyDescent="0.2"/>
    <row r="389" s="11" customFormat="1" x14ac:dyDescent="0.2"/>
    <row r="390" s="11" customFormat="1" x14ac:dyDescent="0.2"/>
    <row r="391" s="11" customFormat="1" x14ac:dyDescent="0.2"/>
    <row r="392" s="11" customFormat="1" x14ac:dyDescent="0.2"/>
    <row r="393" s="11" customFormat="1" x14ac:dyDescent="0.2"/>
    <row r="394" s="11" customFormat="1" x14ac:dyDescent="0.2"/>
    <row r="395" s="11" customFormat="1" x14ac:dyDescent="0.2"/>
    <row r="396" s="11" customFormat="1" x14ac:dyDescent="0.2"/>
    <row r="397" s="11" customFormat="1" x14ac:dyDescent="0.2"/>
    <row r="398" s="11" customFormat="1" x14ac:dyDescent="0.2"/>
    <row r="399" s="11" customFormat="1" x14ac:dyDescent="0.2"/>
    <row r="400" s="11" customFormat="1" x14ac:dyDescent="0.2"/>
    <row r="401" s="11" customFormat="1" x14ac:dyDescent="0.2"/>
    <row r="402" s="11" customFormat="1" x14ac:dyDescent="0.2"/>
    <row r="403" s="11" customFormat="1" x14ac:dyDescent="0.2"/>
    <row r="404" s="11" customFormat="1" x14ac:dyDescent="0.2"/>
    <row r="405" s="11" customFormat="1" x14ac:dyDescent="0.2"/>
    <row r="406" s="11" customFormat="1" x14ac:dyDescent="0.2"/>
    <row r="407" s="11" customFormat="1" x14ac:dyDescent="0.2"/>
    <row r="408" s="11" customFormat="1" x14ac:dyDescent="0.2"/>
    <row r="409" s="11" customFormat="1" x14ac:dyDescent="0.2"/>
    <row r="410" s="11" customFormat="1" x14ac:dyDescent="0.2"/>
    <row r="411" s="11" customFormat="1" x14ac:dyDescent="0.2"/>
    <row r="412" s="11" customFormat="1" x14ac:dyDescent="0.2"/>
    <row r="413" s="11" customFormat="1" x14ac:dyDescent="0.2"/>
    <row r="414" s="11" customFormat="1" x14ac:dyDescent="0.2"/>
    <row r="415" s="11" customFormat="1" x14ac:dyDescent="0.2"/>
    <row r="416" s="11" customFormat="1" x14ac:dyDescent="0.2"/>
    <row r="417" s="11" customFormat="1" x14ac:dyDescent="0.2"/>
    <row r="418" s="11" customFormat="1" x14ac:dyDescent="0.2"/>
    <row r="419" s="11" customFormat="1" x14ac:dyDescent="0.2"/>
    <row r="420" s="11" customFormat="1" x14ac:dyDescent="0.2"/>
    <row r="421" s="11" customFormat="1" x14ac:dyDescent="0.2"/>
    <row r="422" s="11" customFormat="1" x14ac:dyDescent="0.2"/>
    <row r="423" s="11" customFormat="1" x14ac:dyDescent="0.2"/>
    <row r="424" s="11" customFormat="1" x14ac:dyDescent="0.2"/>
    <row r="425" s="11" customFormat="1" x14ac:dyDescent="0.2"/>
    <row r="426" s="11" customFormat="1" x14ac:dyDescent="0.2"/>
    <row r="427" s="11" customFormat="1" x14ac:dyDescent="0.2"/>
    <row r="428" s="11" customFormat="1" x14ac:dyDescent="0.2"/>
    <row r="429" s="11" customFormat="1" x14ac:dyDescent="0.2"/>
    <row r="430" s="11" customFormat="1" x14ac:dyDescent="0.2"/>
    <row r="431" s="11" customFormat="1" x14ac:dyDescent="0.2"/>
    <row r="432" s="11" customFormat="1" x14ac:dyDescent="0.2"/>
    <row r="433" s="11" customFormat="1" x14ac:dyDescent="0.2"/>
    <row r="434" s="11" customFormat="1" x14ac:dyDescent="0.2"/>
    <row r="435" s="11" customFormat="1" x14ac:dyDescent="0.2"/>
    <row r="436" s="11" customFormat="1" x14ac:dyDescent="0.2"/>
    <row r="437" s="11" customFormat="1" x14ac:dyDescent="0.2"/>
    <row r="438" s="11" customFormat="1" x14ac:dyDescent="0.2"/>
    <row r="439" s="11" customFormat="1" x14ac:dyDescent="0.2"/>
    <row r="440" s="11" customFormat="1" x14ac:dyDescent="0.2"/>
    <row r="441" s="11" customFormat="1" x14ac:dyDescent="0.2"/>
    <row r="442" s="11" customFormat="1" x14ac:dyDescent="0.2"/>
    <row r="443" s="11" customFormat="1" x14ac:dyDescent="0.2"/>
    <row r="444" s="11" customFormat="1" x14ac:dyDescent="0.2"/>
    <row r="445" s="11" customFormat="1" x14ac:dyDescent="0.2"/>
    <row r="446" s="11" customFormat="1" x14ac:dyDescent="0.2"/>
    <row r="447" s="11" customFormat="1" x14ac:dyDescent="0.2"/>
    <row r="448" s="11" customFormat="1" x14ac:dyDescent="0.2"/>
    <row r="449" s="11" customFormat="1" x14ac:dyDescent="0.2"/>
    <row r="450" s="11" customFormat="1" x14ac:dyDescent="0.2"/>
    <row r="451" s="11" customFormat="1" x14ac:dyDescent="0.2"/>
    <row r="452" s="11" customFormat="1" x14ac:dyDescent="0.2"/>
    <row r="453" s="11" customFormat="1" x14ac:dyDescent="0.2"/>
    <row r="454" s="11" customFormat="1" x14ac:dyDescent="0.2"/>
    <row r="455" s="11" customFormat="1" x14ac:dyDescent="0.2"/>
    <row r="456" s="11" customFormat="1" x14ac:dyDescent="0.2"/>
    <row r="457" s="11" customFormat="1" x14ac:dyDescent="0.2"/>
    <row r="458" s="11" customFormat="1" x14ac:dyDescent="0.2"/>
    <row r="459" s="11" customFormat="1" x14ac:dyDescent="0.2"/>
    <row r="460" s="11" customFormat="1" x14ac:dyDescent="0.2"/>
    <row r="461" s="11" customFormat="1" x14ac:dyDescent="0.2"/>
    <row r="462" s="11" customFormat="1" x14ac:dyDescent="0.2"/>
    <row r="463" s="11" customFormat="1" x14ac:dyDescent="0.2"/>
    <row r="464" s="11" customFormat="1" x14ac:dyDescent="0.2"/>
    <row r="465" s="11" customFormat="1" x14ac:dyDescent="0.2"/>
    <row r="466" s="11" customFormat="1" x14ac:dyDescent="0.2"/>
    <row r="467" s="11" customFormat="1" x14ac:dyDescent="0.2"/>
    <row r="468" s="11" customFormat="1" x14ac:dyDescent="0.2"/>
    <row r="469" s="11" customFormat="1" x14ac:dyDescent="0.2"/>
    <row r="470" s="11" customFormat="1" x14ac:dyDescent="0.2"/>
    <row r="471" s="11" customFormat="1" x14ac:dyDescent="0.2"/>
    <row r="472" s="11" customFormat="1" x14ac:dyDescent="0.2"/>
    <row r="473" s="11" customFormat="1" x14ac:dyDescent="0.2"/>
    <row r="474" s="11" customFormat="1" x14ac:dyDescent="0.2"/>
    <row r="475" s="11" customFormat="1" x14ac:dyDescent="0.2"/>
    <row r="476" s="11" customFormat="1" x14ac:dyDescent="0.2"/>
    <row r="477" s="11" customFormat="1" x14ac:dyDescent="0.2"/>
    <row r="478" s="11" customFormat="1" x14ac:dyDescent="0.2"/>
    <row r="479" s="11" customFormat="1" x14ac:dyDescent="0.2"/>
    <row r="480" s="11" customFormat="1" x14ac:dyDescent="0.2"/>
    <row r="481" s="11" customFormat="1" x14ac:dyDescent="0.2"/>
    <row r="482" s="11" customFormat="1" x14ac:dyDescent="0.2"/>
    <row r="483" s="11" customFormat="1" x14ac:dyDescent="0.2"/>
    <row r="484" s="11" customFormat="1" x14ac:dyDescent="0.2"/>
    <row r="485" s="11" customFormat="1" x14ac:dyDescent="0.2"/>
    <row r="486" s="11" customFormat="1" x14ac:dyDescent="0.2"/>
    <row r="487" s="11" customFormat="1" x14ac:dyDescent="0.2"/>
    <row r="488" s="11" customFormat="1" x14ac:dyDescent="0.2"/>
    <row r="489" s="11" customFormat="1" x14ac:dyDescent="0.2"/>
    <row r="490" s="11" customFormat="1" x14ac:dyDescent="0.2"/>
    <row r="491" s="11" customFormat="1" x14ac:dyDescent="0.2"/>
    <row r="492" s="11" customFormat="1" x14ac:dyDescent="0.2"/>
    <row r="493" s="11" customFormat="1" x14ac:dyDescent="0.2"/>
    <row r="494" s="11" customFormat="1" x14ac:dyDescent="0.2"/>
    <row r="495" s="11" customFormat="1" x14ac:dyDescent="0.2"/>
    <row r="496" s="11" customFormat="1" x14ac:dyDescent="0.2"/>
    <row r="497" s="11" customFormat="1" x14ac:dyDescent="0.2"/>
    <row r="498" s="11" customFormat="1" x14ac:dyDescent="0.2"/>
    <row r="499" s="11" customFormat="1" x14ac:dyDescent="0.2"/>
    <row r="500" s="11" customFormat="1" x14ac:dyDescent="0.2"/>
    <row r="501" s="11" customFormat="1" x14ac:dyDescent="0.2"/>
    <row r="502" s="11" customFormat="1" x14ac:dyDescent="0.2"/>
    <row r="503" s="11" customFormat="1" x14ac:dyDescent="0.2"/>
    <row r="504" s="11" customFormat="1" x14ac:dyDescent="0.2"/>
    <row r="505" s="11" customFormat="1" x14ac:dyDescent="0.2"/>
    <row r="506" s="11" customFormat="1" x14ac:dyDescent="0.2"/>
    <row r="507" s="11" customFormat="1" x14ac:dyDescent="0.2"/>
    <row r="508" s="11" customFormat="1" x14ac:dyDescent="0.2"/>
    <row r="509" s="11" customFormat="1" x14ac:dyDescent="0.2"/>
    <row r="510" s="11" customFormat="1" x14ac:dyDescent="0.2"/>
    <row r="511" s="11" customFormat="1" x14ac:dyDescent="0.2"/>
    <row r="512" s="11" customFormat="1" x14ac:dyDescent="0.2"/>
    <row r="513" s="11" customFormat="1" x14ac:dyDescent="0.2"/>
    <row r="514" s="11" customFormat="1" x14ac:dyDescent="0.2"/>
    <row r="515" s="11" customFormat="1" x14ac:dyDescent="0.2"/>
    <row r="516" s="11" customFormat="1" x14ac:dyDescent="0.2"/>
    <row r="517" s="11" customFormat="1" x14ac:dyDescent="0.2"/>
    <row r="518" s="11" customFormat="1" x14ac:dyDescent="0.2"/>
    <row r="519" s="11" customFormat="1" x14ac:dyDescent="0.2"/>
    <row r="520" s="11" customFormat="1" x14ac:dyDescent="0.2"/>
    <row r="521" s="11" customFormat="1" x14ac:dyDescent="0.2"/>
    <row r="522" s="11" customFormat="1" x14ac:dyDescent="0.2"/>
    <row r="523" s="11" customFormat="1" x14ac:dyDescent="0.2"/>
    <row r="524" s="11" customFormat="1" x14ac:dyDescent="0.2"/>
    <row r="525" s="11" customFormat="1" x14ac:dyDescent="0.2"/>
    <row r="526" s="11" customFormat="1" x14ac:dyDescent="0.2"/>
    <row r="527" s="11" customFormat="1" x14ac:dyDescent="0.2"/>
    <row r="528" s="11" customFormat="1" x14ac:dyDescent="0.2"/>
    <row r="529" s="11" customFormat="1" x14ac:dyDescent="0.2"/>
    <row r="530" s="11" customFormat="1" x14ac:dyDescent="0.2"/>
    <row r="531" s="11" customFormat="1" x14ac:dyDescent="0.2"/>
    <row r="532" s="11" customFormat="1" x14ac:dyDescent="0.2"/>
    <row r="533" s="11" customFormat="1" x14ac:dyDescent="0.2"/>
    <row r="534" s="11" customFormat="1" x14ac:dyDescent="0.2"/>
    <row r="535" s="11" customFormat="1" x14ac:dyDescent="0.2"/>
    <row r="536" s="11" customFormat="1" x14ac:dyDescent="0.2"/>
    <row r="537" s="11" customFormat="1" x14ac:dyDescent="0.2"/>
    <row r="538" s="11" customFormat="1" x14ac:dyDescent="0.2"/>
    <row r="539" s="11" customFormat="1" x14ac:dyDescent="0.2"/>
    <row r="540" s="11" customFormat="1" x14ac:dyDescent="0.2"/>
    <row r="541" s="11" customFormat="1" x14ac:dyDescent="0.2"/>
    <row r="542" s="11" customFormat="1" x14ac:dyDescent="0.2"/>
    <row r="543" s="11" customFormat="1" x14ac:dyDescent="0.2"/>
    <row r="544" s="11" customFormat="1" x14ac:dyDescent="0.2"/>
    <row r="545" s="11" customFormat="1" x14ac:dyDescent="0.2"/>
    <row r="546" s="11" customFormat="1" x14ac:dyDescent="0.2"/>
    <row r="547" s="11" customFormat="1" x14ac:dyDescent="0.2"/>
    <row r="548" s="11" customFormat="1" x14ac:dyDescent="0.2"/>
    <row r="549" s="11" customFormat="1" x14ac:dyDescent="0.2"/>
    <row r="550" s="11" customFormat="1" x14ac:dyDescent="0.2"/>
    <row r="551" s="11" customFormat="1" x14ac:dyDescent="0.2"/>
    <row r="552" s="11" customFormat="1" x14ac:dyDescent="0.2"/>
    <row r="553" s="11" customFormat="1" x14ac:dyDescent="0.2"/>
    <row r="554" s="11" customFormat="1" x14ac:dyDescent="0.2"/>
    <row r="555" s="11" customFormat="1" x14ac:dyDescent="0.2"/>
    <row r="556" s="11" customFormat="1" x14ac:dyDescent="0.2"/>
    <row r="557" s="11" customFormat="1" x14ac:dyDescent="0.2"/>
    <row r="558" s="11" customFormat="1" x14ac:dyDescent="0.2"/>
    <row r="559" s="11" customFormat="1" x14ac:dyDescent="0.2"/>
    <row r="560" s="11" customFormat="1" x14ac:dyDescent="0.2"/>
    <row r="561" s="11" customFormat="1" x14ac:dyDescent="0.2"/>
    <row r="562" s="11" customFormat="1" x14ac:dyDescent="0.2"/>
    <row r="563" s="11" customFormat="1" x14ac:dyDescent="0.2"/>
    <row r="564" s="11" customFormat="1" x14ac:dyDescent="0.2"/>
    <row r="565" s="11" customFormat="1" x14ac:dyDescent="0.2"/>
    <row r="566" s="11" customFormat="1" x14ac:dyDescent="0.2"/>
    <row r="567" s="11" customFormat="1" x14ac:dyDescent="0.2"/>
    <row r="568" s="11" customFormat="1" x14ac:dyDescent="0.2"/>
    <row r="569" s="11" customFormat="1" x14ac:dyDescent="0.2"/>
    <row r="570" s="11" customFormat="1" x14ac:dyDescent="0.2"/>
    <row r="571" s="11" customFormat="1" x14ac:dyDescent="0.2"/>
    <row r="572" s="11" customFormat="1" x14ac:dyDescent="0.2"/>
    <row r="573" s="11" customFormat="1" x14ac:dyDescent="0.2"/>
    <row r="574" s="11" customFormat="1" x14ac:dyDescent="0.2"/>
    <row r="575" s="11" customFormat="1" x14ac:dyDescent="0.2"/>
    <row r="576" s="11" customFormat="1" x14ac:dyDescent="0.2"/>
    <row r="577" s="11" customFormat="1" x14ac:dyDescent="0.2"/>
    <row r="578" s="11" customFormat="1" x14ac:dyDescent="0.2"/>
    <row r="579" s="11" customFormat="1" x14ac:dyDescent="0.2"/>
    <row r="580" s="11" customFormat="1" x14ac:dyDescent="0.2"/>
    <row r="581" s="11" customFormat="1" x14ac:dyDescent="0.2"/>
    <row r="582" s="11" customFormat="1" x14ac:dyDescent="0.2"/>
    <row r="583" s="11" customFormat="1" x14ac:dyDescent="0.2"/>
    <row r="584" s="11" customFormat="1" x14ac:dyDescent="0.2"/>
    <row r="585" s="11" customFormat="1" x14ac:dyDescent="0.2"/>
    <row r="586" s="11" customFormat="1" x14ac:dyDescent="0.2"/>
    <row r="587" s="11" customFormat="1" x14ac:dyDescent="0.2"/>
    <row r="588" s="11" customFormat="1" x14ac:dyDescent="0.2"/>
    <row r="589" s="11" customFormat="1" x14ac:dyDescent="0.2"/>
    <row r="590" s="11" customFormat="1" x14ac:dyDescent="0.2"/>
    <row r="591" s="11" customFormat="1" x14ac:dyDescent="0.2"/>
    <row r="592" s="11" customFormat="1" x14ac:dyDescent="0.2"/>
    <row r="593" s="11" customFormat="1" x14ac:dyDescent="0.2"/>
    <row r="594" s="11" customFormat="1" x14ac:dyDescent="0.2"/>
    <row r="595" s="11" customFormat="1" x14ac:dyDescent="0.2"/>
    <row r="596" s="11" customFormat="1" x14ac:dyDescent="0.2"/>
    <row r="597" s="11" customFormat="1" x14ac:dyDescent="0.2"/>
    <row r="598" s="11" customFormat="1" x14ac:dyDescent="0.2"/>
    <row r="599" s="11" customFormat="1" x14ac:dyDescent="0.2"/>
    <row r="600" s="11" customFormat="1" x14ac:dyDescent="0.2"/>
    <row r="601" s="11" customFormat="1" x14ac:dyDescent="0.2"/>
    <row r="602" s="11" customFormat="1" x14ac:dyDescent="0.2"/>
    <row r="603" s="11" customFormat="1" x14ac:dyDescent="0.2"/>
    <row r="604" s="11" customFormat="1" x14ac:dyDescent="0.2"/>
    <row r="605" s="11" customFormat="1" x14ac:dyDescent="0.2"/>
    <row r="606" s="11" customFormat="1" x14ac:dyDescent="0.2"/>
    <row r="607" s="11" customFormat="1" x14ac:dyDescent="0.2"/>
    <row r="608" s="11" customFormat="1" x14ac:dyDescent="0.2"/>
    <row r="609" s="11" customFormat="1" x14ac:dyDescent="0.2"/>
    <row r="610" s="11" customFormat="1" x14ac:dyDescent="0.2"/>
    <row r="611" s="11" customFormat="1" x14ac:dyDescent="0.2"/>
    <row r="612" s="11" customFormat="1" x14ac:dyDescent="0.2"/>
    <row r="613" s="11" customFormat="1" x14ac:dyDescent="0.2"/>
    <row r="614" s="11" customFormat="1" x14ac:dyDescent="0.2"/>
    <row r="615" s="11" customFormat="1" x14ac:dyDescent="0.2"/>
    <row r="616" s="11" customFormat="1" x14ac:dyDescent="0.2"/>
    <row r="617" s="11" customFormat="1" x14ac:dyDescent="0.2"/>
    <row r="618" s="11" customFormat="1" x14ac:dyDescent="0.2"/>
    <row r="619" s="11" customFormat="1" x14ac:dyDescent="0.2"/>
    <row r="620" s="11" customFormat="1" x14ac:dyDescent="0.2"/>
    <row r="621" s="11" customFormat="1" x14ac:dyDescent="0.2"/>
    <row r="622" s="11" customFormat="1" x14ac:dyDescent="0.2"/>
    <row r="623" s="11" customFormat="1" x14ac:dyDescent="0.2"/>
    <row r="624" s="11" customFormat="1" x14ac:dyDescent="0.2"/>
    <row r="625" s="11" customFormat="1" x14ac:dyDescent="0.2"/>
    <row r="626" s="11" customFormat="1" x14ac:dyDescent="0.2"/>
    <row r="627" s="11" customFormat="1" x14ac:dyDescent="0.2"/>
    <row r="628" s="11" customFormat="1" x14ac:dyDescent="0.2"/>
    <row r="629" s="11" customFormat="1" x14ac:dyDescent="0.2"/>
    <row r="630" s="11" customFormat="1" x14ac:dyDescent="0.2"/>
    <row r="631" s="11" customFormat="1" x14ac:dyDescent="0.2"/>
    <row r="632" s="11" customFormat="1" x14ac:dyDescent="0.2"/>
    <row r="633" s="11" customFormat="1" x14ac:dyDescent="0.2"/>
    <row r="634" s="11" customFormat="1" x14ac:dyDescent="0.2"/>
    <row r="635" s="11" customFormat="1" x14ac:dyDescent="0.2"/>
    <row r="636" s="11" customFormat="1" x14ac:dyDescent="0.2"/>
    <row r="637" s="11" customFormat="1" x14ac:dyDescent="0.2"/>
    <row r="638" s="11" customFormat="1" x14ac:dyDescent="0.2"/>
    <row r="639" s="11" customFormat="1" x14ac:dyDescent="0.2"/>
    <row r="640" s="11" customFormat="1" x14ac:dyDescent="0.2"/>
    <row r="641" s="11" customFormat="1" x14ac:dyDescent="0.2"/>
    <row r="642" s="11" customFormat="1" x14ac:dyDescent="0.2"/>
    <row r="643" s="11" customFormat="1" x14ac:dyDescent="0.2"/>
    <row r="644" s="11" customFormat="1" x14ac:dyDescent="0.2"/>
    <row r="645" s="11" customFormat="1" x14ac:dyDescent="0.2"/>
    <row r="646" s="11" customFormat="1" x14ac:dyDescent="0.2"/>
    <row r="647" s="11" customFormat="1" x14ac:dyDescent="0.2"/>
    <row r="648" s="11" customFormat="1" x14ac:dyDescent="0.2"/>
    <row r="649" s="11" customFormat="1" x14ac:dyDescent="0.2"/>
    <row r="650" s="11" customFormat="1" x14ac:dyDescent="0.2"/>
    <row r="651" s="11" customFormat="1" x14ac:dyDescent="0.2"/>
    <row r="652" s="11" customFormat="1" x14ac:dyDescent="0.2"/>
    <row r="653" s="11" customFormat="1" x14ac:dyDescent="0.2"/>
    <row r="654" s="11" customFormat="1" x14ac:dyDescent="0.2"/>
    <row r="655" s="11" customFormat="1" x14ac:dyDescent="0.2"/>
    <row r="656" s="11" customFormat="1" x14ac:dyDescent="0.2"/>
    <row r="657" s="11" customFormat="1" x14ac:dyDescent="0.2"/>
    <row r="658" s="11" customFormat="1" x14ac:dyDescent="0.2"/>
    <row r="659" s="11" customFormat="1" x14ac:dyDescent="0.2"/>
    <row r="660" s="11" customFormat="1" x14ac:dyDescent="0.2"/>
    <row r="661" s="11" customFormat="1" x14ac:dyDescent="0.2"/>
    <row r="662" s="11" customFormat="1" x14ac:dyDescent="0.2"/>
    <row r="663" s="11" customFormat="1" x14ac:dyDescent="0.2"/>
    <row r="664" s="11" customFormat="1" x14ac:dyDescent="0.2"/>
    <row r="665" s="11" customFormat="1" x14ac:dyDescent="0.2"/>
    <row r="666" s="11" customFormat="1" x14ac:dyDescent="0.2"/>
    <row r="667" s="11" customFormat="1" x14ac:dyDescent="0.2"/>
    <row r="668" s="11" customFormat="1" x14ac:dyDescent="0.2"/>
    <row r="669" s="11" customFormat="1" x14ac:dyDescent="0.2"/>
    <row r="670" s="11" customFormat="1" x14ac:dyDescent="0.2"/>
    <row r="671" s="11" customFormat="1" x14ac:dyDescent="0.2"/>
    <row r="672" s="11" customFormat="1" x14ac:dyDescent="0.2"/>
    <row r="673" s="11" customFormat="1" x14ac:dyDescent="0.2"/>
    <row r="674" s="11" customFormat="1" x14ac:dyDescent="0.2"/>
    <row r="675" s="11" customFormat="1" x14ac:dyDescent="0.2"/>
    <row r="676" s="11" customFormat="1" x14ac:dyDescent="0.2"/>
    <row r="677" s="11" customFormat="1" x14ac:dyDescent="0.2"/>
    <row r="678" s="11" customFormat="1" x14ac:dyDescent="0.2"/>
    <row r="679" s="11" customFormat="1" x14ac:dyDescent="0.2"/>
    <row r="680" s="11" customFormat="1" x14ac:dyDescent="0.2"/>
    <row r="681" s="11" customFormat="1" x14ac:dyDescent="0.2"/>
    <row r="682" s="11" customFormat="1" x14ac:dyDescent="0.2"/>
    <row r="683" s="11" customFormat="1" x14ac:dyDescent="0.2"/>
    <row r="684" s="11" customFormat="1" x14ac:dyDescent="0.2"/>
    <row r="685" s="11" customFormat="1" x14ac:dyDescent="0.2"/>
    <row r="686" s="11" customFormat="1" x14ac:dyDescent="0.2"/>
    <row r="687" s="11" customFormat="1" x14ac:dyDescent="0.2"/>
    <row r="688" s="11" customFormat="1" x14ac:dyDescent="0.2"/>
    <row r="689" s="11" customFormat="1" x14ac:dyDescent="0.2"/>
    <row r="690" s="11" customFormat="1" x14ac:dyDescent="0.2"/>
    <row r="691" s="11" customFormat="1" x14ac:dyDescent="0.2"/>
    <row r="692" s="11" customFormat="1" x14ac:dyDescent="0.2"/>
    <row r="693" s="11" customFormat="1" x14ac:dyDescent="0.2"/>
    <row r="694" s="11" customFormat="1" x14ac:dyDescent="0.2"/>
    <row r="695" s="11" customFormat="1" x14ac:dyDescent="0.2"/>
    <row r="696" s="11" customFormat="1" x14ac:dyDescent="0.2"/>
    <row r="697" s="11" customFormat="1" x14ac:dyDescent="0.2"/>
    <row r="698" s="11" customFormat="1" x14ac:dyDescent="0.2"/>
    <row r="699" s="11" customFormat="1" x14ac:dyDescent="0.2"/>
    <row r="700" s="11" customFormat="1" x14ac:dyDescent="0.2"/>
    <row r="701" s="11" customFormat="1" x14ac:dyDescent="0.2"/>
    <row r="702" s="11" customFormat="1" x14ac:dyDescent="0.2"/>
    <row r="703" s="11" customFormat="1" x14ac:dyDescent="0.2"/>
    <row r="704" s="11" customFormat="1" x14ac:dyDescent="0.2"/>
    <row r="705" s="11" customFormat="1" x14ac:dyDescent="0.2"/>
    <row r="706" s="11" customFormat="1" x14ac:dyDescent="0.2"/>
    <row r="707" s="11" customFormat="1" x14ac:dyDescent="0.2"/>
    <row r="708" s="11" customFormat="1" x14ac:dyDescent="0.2"/>
    <row r="709" s="11" customFormat="1" x14ac:dyDescent="0.2"/>
    <row r="710" s="11" customFormat="1" x14ac:dyDescent="0.2"/>
    <row r="711" s="11" customFormat="1" x14ac:dyDescent="0.2"/>
    <row r="712" s="11" customFormat="1" x14ac:dyDescent="0.2"/>
    <row r="713" s="11" customFormat="1" x14ac:dyDescent="0.2"/>
    <row r="714" s="11" customFormat="1" x14ac:dyDescent="0.2"/>
    <row r="715" s="11" customFormat="1" x14ac:dyDescent="0.2"/>
    <row r="716" s="11" customFormat="1" x14ac:dyDescent="0.2"/>
    <row r="717" s="11" customFormat="1" x14ac:dyDescent="0.2"/>
    <row r="718" s="11" customFormat="1" x14ac:dyDescent="0.2"/>
    <row r="719" s="11" customFormat="1" x14ac:dyDescent="0.2"/>
    <row r="720" s="11" customFormat="1" x14ac:dyDescent="0.2"/>
    <row r="721" s="11" customFormat="1" x14ac:dyDescent="0.2"/>
    <row r="722" s="11" customFormat="1" x14ac:dyDescent="0.2"/>
    <row r="723" s="11" customFormat="1" x14ac:dyDescent="0.2"/>
    <row r="724" s="11" customFormat="1" x14ac:dyDescent="0.2"/>
    <row r="725" s="11" customFormat="1" x14ac:dyDescent="0.2"/>
    <row r="726" s="11" customFormat="1" x14ac:dyDescent="0.2"/>
    <row r="727" s="11" customFormat="1" x14ac:dyDescent="0.2"/>
    <row r="728" s="11" customFormat="1" x14ac:dyDescent="0.2"/>
    <row r="729" s="11" customFormat="1" x14ac:dyDescent="0.2"/>
    <row r="730" s="11" customFormat="1" x14ac:dyDescent="0.2"/>
    <row r="731" s="11" customFormat="1" x14ac:dyDescent="0.2"/>
    <row r="732" s="11" customFormat="1" x14ac:dyDescent="0.2"/>
    <row r="733" s="11" customFormat="1" x14ac:dyDescent="0.2"/>
    <row r="734" s="11" customFormat="1" x14ac:dyDescent="0.2"/>
    <row r="735" s="11" customFormat="1" x14ac:dyDescent="0.2"/>
    <row r="736" s="11" customFormat="1" x14ac:dyDescent="0.2"/>
    <row r="737" s="11" customFormat="1" x14ac:dyDescent="0.2"/>
    <row r="738" s="11" customFormat="1" x14ac:dyDescent="0.2"/>
    <row r="739" s="11" customFormat="1" x14ac:dyDescent="0.2"/>
    <row r="740" s="11" customFormat="1" x14ac:dyDescent="0.2"/>
    <row r="741" s="11" customFormat="1" x14ac:dyDescent="0.2"/>
    <row r="742" s="11" customFormat="1" x14ac:dyDescent="0.2"/>
    <row r="743" s="11" customFormat="1" x14ac:dyDescent="0.2"/>
    <row r="744" s="11" customFormat="1" x14ac:dyDescent="0.2"/>
    <row r="745" s="11" customFormat="1" x14ac:dyDescent="0.2"/>
    <row r="746" s="11" customFormat="1" x14ac:dyDescent="0.2"/>
    <row r="747" s="11" customFormat="1" x14ac:dyDescent="0.2"/>
    <row r="748" s="11" customFormat="1" x14ac:dyDescent="0.2"/>
    <row r="749" s="11" customFormat="1" x14ac:dyDescent="0.2"/>
    <row r="750" s="11" customFormat="1" x14ac:dyDescent="0.2"/>
    <row r="751" s="11" customFormat="1" x14ac:dyDescent="0.2"/>
    <row r="752" s="11" customFormat="1" x14ac:dyDescent="0.2"/>
    <row r="753" s="11" customFormat="1" x14ac:dyDescent="0.2"/>
    <row r="754" s="11" customFormat="1" x14ac:dyDescent="0.2"/>
    <row r="755" s="11" customFormat="1" x14ac:dyDescent="0.2"/>
    <row r="756" s="11" customFormat="1" x14ac:dyDescent="0.2"/>
    <row r="757" s="11" customFormat="1" x14ac:dyDescent="0.2"/>
    <row r="758" s="11" customFormat="1" x14ac:dyDescent="0.2"/>
    <row r="759" s="11" customFormat="1" x14ac:dyDescent="0.2"/>
    <row r="760" s="11" customFormat="1" x14ac:dyDescent="0.2"/>
    <row r="761" s="11" customFormat="1" x14ac:dyDescent="0.2"/>
    <row r="762" s="11" customFormat="1" x14ac:dyDescent="0.2"/>
    <row r="763" s="11" customFormat="1" x14ac:dyDescent="0.2"/>
    <row r="764" s="11" customFormat="1" x14ac:dyDescent="0.2"/>
    <row r="765" s="11" customFormat="1" x14ac:dyDescent="0.2"/>
    <row r="766" s="11" customFormat="1" x14ac:dyDescent="0.2"/>
    <row r="767" s="11" customFormat="1" x14ac:dyDescent="0.2"/>
    <row r="768" s="11" customFormat="1" x14ac:dyDescent="0.2"/>
    <row r="769" s="11" customFormat="1" x14ac:dyDescent="0.2"/>
    <row r="770" s="11" customFormat="1" x14ac:dyDescent="0.2"/>
    <row r="771" s="11" customFormat="1" x14ac:dyDescent="0.2"/>
    <row r="772" s="11" customFormat="1" x14ac:dyDescent="0.2"/>
    <row r="773" s="11" customFormat="1" x14ac:dyDescent="0.2"/>
    <row r="774" s="11" customFormat="1" x14ac:dyDescent="0.2"/>
    <row r="775" s="11" customFormat="1" x14ac:dyDescent="0.2"/>
    <row r="776" s="11" customFormat="1" x14ac:dyDescent="0.2"/>
    <row r="777" s="11" customFormat="1" x14ac:dyDescent="0.2"/>
    <row r="778" s="11" customFormat="1" x14ac:dyDescent="0.2"/>
    <row r="779" s="11" customFormat="1" x14ac:dyDescent="0.2"/>
    <row r="780" s="11" customFormat="1" x14ac:dyDescent="0.2"/>
    <row r="781" s="11" customFormat="1" x14ac:dyDescent="0.2"/>
    <row r="782" s="11" customFormat="1" x14ac:dyDescent="0.2"/>
    <row r="783" s="11" customFormat="1" x14ac:dyDescent="0.2"/>
    <row r="784" s="11" customFormat="1" x14ac:dyDescent="0.2"/>
    <row r="785" s="11" customFormat="1" x14ac:dyDescent="0.2"/>
    <row r="786" s="11" customFormat="1" x14ac:dyDescent="0.2"/>
    <row r="787" s="11" customFormat="1" x14ac:dyDescent="0.2"/>
    <row r="788" s="11" customFormat="1" x14ac:dyDescent="0.2"/>
    <row r="789" s="11" customFormat="1" x14ac:dyDescent="0.2"/>
    <row r="790" s="11" customFormat="1" x14ac:dyDescent="0.2"/>
    <row r="791" s="11" customFormat="1" x14ac:dyDescent="0.2"/>
    <row r="792" s="11" customFormat="1" x14ac:dyDescent="0.2"/>
    <row r="793" s="11" customFormat="1" x14ac:dyDescent="0.2"/>
    <row r="794" s="11" customFormat="1" x14ac:dyDescent="0.2"/>
    <row r="795" s="11" customFormat="1" x14ac:dyDescent="0.2"/>
    <row r="796" s="11" customFormat="1" x14ac:dyDescent="0.2"/>
    <row r="797" s="11" customFormat="1" x14ac:dyDescent="0.2"/>
    <row r="798" s="11" customFormat="1" x14ac:dyDescent="0.2"/>
    <row r="799" s="11" customFormat="1" x14ac:dyDescent="0.2"/>
    <row r="800" s="11" customFormat="1" x14ac:dyDescent="0.2"/>
    <row r="801" s="11" customFormat="1" x14ac:dyDescent="0.2"/>
    <row r="802" s="11" customFormat="1" x14ac:dyDescent="0.2"/>
    <row r="803" s="11" customFormat="1" x14ac:dyDescent="0.2"/>
    <row r="804" s="11" customFormat="1" x14ac:dyDescent="0.2"/>
    <row r="805" s="11" customFormat="1" x14ac:dyDescent="0.2"/>
    <row r="806" s="11" customFormat="1" x14ac:dyDescent="0.2"/>
    <row r="807" s="11" customFormat="1" x14ac:dyDescent="0.2"/>
    <row r="808" s="11" customFormat="1" x14ac:dyDescent="0.2"/>
    <row r="809" s="11" customFormat="1" x14ac:dyDescent="0.2"/>
    <row r="810" s="11" customFormat="1" x14ac:dyDescent="0.2"/>
    <row r="811" s="11" customFormat="1" x14ac:dyDescent="0.2"/>
    <row r="812" s="11" customFormat="1" x14ac:dyDescent="0.2"/>
    <row r="813" s="11" customFormat="1" x14ac:dyDescent="0.2"/>
    <row r="814" s="11" customFormat="1" x14ac:dyDescent="0.2"/>
    <row r="815" s="11" customFormat="1" x14ac:dyDescent="0.2"/>
    <row r="816" s="11" customFormat="1" x14ac:dyDescent="0.2"/>
    <row r="817" s="11" customFormat="1" x14ac:dyDescent="0.2"/>
    <row r="818" s="11" customFormat="1" x14ac:dyDescent="0.2"/>
    <row r="819" s="11" customFormat="1" x14ac:dyDescent="0.2"/>
    <row r="820" s="11" customFormat="1" x14ac:dyDescent="0.2"/>
    <row r="821" s="11" customFormat="1" x14ac:dyDescent="0.2"/>
    <row r="822" s="11" customFormat="1" x14ac:dyDescent="0.2"/>
    <row r="823" s="11" customFormat="1" x14ac:dyDescent="0.2"/>
    <row r="824" s="11" customFormat="1" x14ac:dyDescent="0.2"/>
    <row r="825" s="11" customFormat="1" x14ac:dyDescent="0.2"/>
    <row r="826" s="11" customFormat="1" x14ac:dyDescent="0.2"/>
    <row r="827" s="11" customFormat="1" x14ac:dyDescent="0.2"/>
    <row r="828" s="11" customFormat="1" x14ac:dyDescent="0.2"/>
    <row r="829" s="11" customFormat="1" x14ac:dyDescent="0.2"/>
    <row r="830" s="11" customFormat="1" x14ac:dyDescent="0.2"/>
    <row r="831" s="11" customFormat="1" x14ac:dyDescent="0.2"/>
    <row r="832" s="11" customFormat="1" x14ac:dyDescent="0.2"/>
    <row r="833" s="11" customFormat="1" x14ac:dyDescent="0.2"/>
    <row r="834" s="11" customFormat="1" x14ac:dyDescent="0.2"/>
    <row r="835" s="11" customFormat="1" x14ac:dyDescent="0.2"/>
    <row r="836" s="11" customFormat="1" x14ac:dyDescent="0.2"/>
    <row r="837" s="11" customFormat="1" x14ac:dyDescent="0.2"/>
    <row r="838" s="11" customFormat="1" x14ac:dyDescent="0.2"/>
    <row r="839" s="11" customFormat="1" x14ac:dyDescent="0.2"/>
    <row r="840" s="11" customFormat="1" x14ac:dyDescent="0.2"/>
    <row r="841" s="11" customFormat="1" x14ac:dyDescent="0.2"/>
    <row r="842" s="11" customFormat="1" x14ac:dyDescent="0.2"/>
    <row r="843" s="11" customFormat="1" x14ac:dyDescent="0.2"/>
    <row r="844" s="11" customFormat="1" x14ac:dyDescent="0.2"/>
    <row r="845" s="11" customFormat="1" x14ac:dyDescent="0.2"/>
    <row r="846" s="11" customFormat="1" x14ac:dyDescent="0.2"/>
    <row r="847" s="11" customFormat="1" x14ac:dyDescent="0.2"/>
    <row r="848" s="11" customFormat="1" x14ac:dyDescent="0.2"/>
    <row r="849" s="11" customFormat="1" x14ac:dyDescent="0.2"/>
    <row r="850" s="11" customFormat="1" x14ac:dyDescent="0.2"/>
    <row r="851" s="11" customFormat="1" x14ac:dyDescent="0.2"/>
    <row r="852" s="11" customFormat="1" x14ac:dyDescent="0.2"/>
    <row r="853" s="11" customFormat="1" x14ac:dyDescent="0.2"/>
    <row r="854" s="11" customFormat="1" x14ac:dyDescent="0.2"/>
    <row r="855" s="11" customFormat="1" x14ac:dyDescent="0.2"/>
    <row r="856" s="11" customFormat="1" x14ac:dyDescent="0.2"/>
    <row r="857" s="11" customFormat="1" x14ac:dyDescent="0.2"/>
    <row r="858" s="11" customFormat="1" x14ac:dyDescent="0.2"/>
    <row r="859" s="11" customFormat="1" x14ac:dyDescent="0.2"/>
    <row r="860" s="11" customFormat="1" x14ac:dyDescent="0.2"/>
    <row r="861" s="11" customFormat="1" x14ac:dyDescent="0.2"/>
    <row r="862" s="11" customFormat="1" x14ac:dyDescent="0.2"/>
    <row r="863" s="11" customFormat="1" x14ac:dyDescent="0.2"/>
    <row r="864" s="11" customFormat="1" x14ac:dyDescent="0.2"/>
    <row r="865" s="11" customFormat="1" x14ac:dyDescent="0.2"/>
    <row r="866" s="11" customFormat="1" x14ac:dyDescent="0.2"/>
    <row r="867" s="11" customFormat="1" x14ac:dyDescent="0.2"/>
    <row r="868" s="11" customFormat="1" x14ac:dyDescent="0.2"/>
    <row r="869" s="11" customFormat="1" x14ac:dyDescent="0.2"/>
    <row r="870" s="11" customFormat="1" x14ac:dyDescent="0.2"/>
    <row r="871" s="11" customFormat="1" x14ac:dyDescent="0.2"/>
    <row r="872" s="11" customFormat="1" x14ac:dyDescent="0.2"/>
    <row r="873" s="11" customFormat="1" x14ac:dyDescent="0.2"/>
    <row r="874" s="11" customFormat="1" x14ac:dyDescent="0.2"/>
    <row r="875" s="11" customFormat="1" x14ac:dyDescent="0.2"/>
    <row r="876" s="11" customFormat="1" x14ac:dyDescent="0.2"/>
    <row r="877" s="11" customFormat="1" x14ac:dyDescent="0.2"/>
    <row r="878" s="11" customFormat="1" x14ac:dyDescent="0.2"/>
    <row r="879" s="11" customFormat="1" x14ac:dyDescent="0.2"/>
    <row r="880" s="11" customFormat="1" x14ac:dyDescent="0.2"/>
    <row r="881" s="11" customFormat="1" x14ac:dyDescent="0.2"/>
    <row r="882" s="11" customFormat="1" x14ac:dyDescent="0.2"/>
    <row r="883" s="11" customFormat="1" x14ac:dyDescent="0.2"/>
    <row r="884" s="11" customFormat="1" x14ac:dyDescent="0.2"/>
    <row r="885" s="11" customFormat="1" x14ac:dyDescent="0.2"/>
    <row r="886" s="11" customFormat="1" x14ac:dyDescent="0.2"/>
    <row r="887" s="11" customFormat="1" x14ac:dyDescent="0.2"/>
    <row r="888" s="11" customFormat="1" x14ac:dyDescent="0.2"/>
    <row r="889" s="11" customFormat="1" x14ac:dyDescent="0.2"/>
    <row r="890" s="11" customFormat="1" x14ac:dyDescent="0.2"/>
    <row r="891" s="11" customFormat="1" x14ac:dyDescent="0.2"/>
    <row r="892" s="11" customFormat="1" x14ac:dyDescent="0.2"/>
    <row r="893" s="11" customFormat="1" x14ac:dyDescent="0.2"/>
    <row r="894" s="11" customFormat="1" x14ac:dyDescent="0.2"/>
    <row r="895" s="11" customFormat="1" x14ac:dyDescent="0.2"/>
    <row r="896" s="11" customFormat="1" x14ac:dyDescent="0.2"/>
    <row r="897" s="11" customFormat="1" x14ac:dyDescent="0.2"/>
    <row r="898" s="11" customFormat="1" x14ac:dyDescent="0.2"/>
    <row r="899" s="11" customFormat="1" x14ac:dyDescent="0.2"/>
    <row r="900" s="11" customFormat="1" x14ac:dyDescent="0.2"/>
    <row r="901" s="11" customFormat="1" x14ac:dyDescent="0.2"/>
    <row r="902" s="11" customFormat="1" x14ac:dyDescent="0.2"/>
    <row r="903" s="11" customFormat="1" x14ac:dyDescent="0.2"/>
    <row r="904" s="11" customFormat="1" x14ac:dyDescent="0.2"/>
    <row r="905" s="11" customFormat="1" x14ac:dyDescent="0.2"/>
    <row r="906" s="11" customFormat="1" x14ac:dyDescent="0.2"/>
    <row r="907" s="11" customFormat="1" x14ac:dyDescent="0.2"/>
    <row r="908" s="11" customFormat="1" x14ac:dyDescent="0.2"/>
    <row r="909" s="11" customFormat="1" x14ac:dyDescent="0.2"/>
    <row r="910" s="11" customFormat="1" x14ac:dyDescent="0.2"/>
    <row r="911" s="11" customFormat="1" x14ac:dyDescent="0.2"/>
    <row r="912" s="11" customFormat="1" x14ac:dyDescent="0.2"/>
    <row r="913" s="11" customFormat="1" x14ac:dyDescent="0.2"/>
    <row r="914" s="11" customFormat="1" x14ac:dyDescent="0.2"/>
    <row r="915" s="11" customFormat="1" x14ac:dyDescent="0.2"/>
    <row r="916" s="11" customFormat="1" x14ac:dyDescent="0.2"/>
    <row r="917" s="11" customFormat="1" x14ac:dyDescent="0.2"/>
    <row r="918" s="11" customFormat="1" x14ac:dyDescent="0.2"/>
    <row r="919" s="11" customFormat="1" x14ac:dyDescent="0.2"/>
    <row r="920" s="11" customFormat="1" x14ac:dyDescent="0.2"/>
    <row r="921" s="11" customFormat="1" x14ac:dyDescent="0.2"/>
    <row r="922" s="11" customFormat="1" x14ac:dyDescent="0.2"/>
    <row r="923" s="11" customFormat="1" x14ac:dyDescent="0.2"/>
    <row r="924" s="11" customFormat="1" x14ac:dyDescent="0.2"/>
    <row r="925" s="11" customFormat="1" x14ac:dyDescent="0.2"/>
    <row r="926" s="11" customFormat="1" x14ac:dyDescent="0.2"/>
    <row r="927" s="11" customFormat="1" x14ac:dyDescent="0.2"/>
    <row r="928" s="11" customFormat="1" x14ac:dyDescent="0.2"/>
    <row r="929" s="11" customFormat="1" x14ac:dyDescent="0.2"/>
    <row r="930" s="11" customFormat="1" x14ac:dyDescent="0.2"/>
    <row r="931" s="11" customFormat="1" x14ac:dyDescent="0.2"/>
    <row r="932" s="11" customFormat="1" x14ac:dyDescent="0.2"/>
    <row r="933" s="11" customFormat="1" x14ac:dyDescent="0.2"/>
    <row r="934" s="11" customFormat="1" x14ac:dyDescent="0.2"/>
    <row r="935" s="11" customFormat="1" x14ac:dyDescent="0.2"/>
    <row r="936" s="11" customFormat="1" x14ac:dyDescent="0.2"/>
    <row r="937" s="11" customFormat="1" x14ac:dyDescent="0.2"/>
    <row r="938" s="11" customFormat="1" x14ac:dyDescent="0.2"/>
    <row r="939" s="11" customFormat="1" x14ac:dyDescent="0.2"/>
    <row r="940" s="11" customFormat="1" x14ac:dyDescent="0.2"/>
    <row r="941" s="11" customFormat="1" x14ac:dyDescent="0.2"/>
    <row r="942" s="11" customFormat="1" x14ac:dyDescent="0.2"/>
    <row r="943" s="11" customFormat="1" x14ac:dyDescent="0.2"/>
    <row r="944" s="11" customFormat="1" x14ac:dyDescent="0.2"/>
    <row r="945" s="11" customFormat="1" x14ac:dyDescent="0.2"/>
    <row r="946" s="11" customFormat="1" x14ac:dyDescent="0.2"/>
    <row r="947" s="11" customFormat="1" x14ac:dyDescent="0.2"/>
    <row r="948" s="11" customFormat="1" x14ac:dyDescent="0.2"/>
    <row r="949" s="11" customFormat="1" x14ac:dyDescent="0.2"/>
    <row r="950" s="11" customFormat="1" x14ac:dyDescent="0.2"/>
    <row r="951" s="11" customFormat="1" x14ac:dyDescent="0.2"/>
    <row r="952" s="11" customFormat="1" x14ac:dyDescent="0.2"/>
    <row r="953" s="11" customFormat="1" x14ac:dyDescent="0.2"/>
    <row r="954" s="11" customFormat="1" x14ac:dyDescent="0.2"/>
    <row r="955" s="11" customFormat="1" x14ac:dyDescent="0.2"/>
    <row r="956" s="11" customFormat="1" x14ac:dyDescent="0.2"/>
    <row r="957" s="11" customFormat="1" x14ac:dyDescent="0.2"/>
    <row r="958" s="11" customFormat="1" x14ac:dyDescent="0.2"/>
    <row r="959" s="11" customFormat="1" x14ac:dyDescent="0.2"/>
    <row r="960" s="11" customFormat="1" x14ac:dyDescent="0.2"/>
    <row r="961" s="11" customFormat="1" x14ac:dyDescent="0.2"/>
    <row r="962" s="11" customFormat="1" x14ac:dyDescent="0.2"/>
    <row r="963" s="11" customFormat="1" x14ac:dyDescent="0.2"/>
    <row r="964" s="11" customFormat="1" x14ac:dyDescent="0.2"/>
    <row r="965" s="11" customFormat="1" x14ac:dyDescent="0.2"/>
    <row r="966" s="11" customFormat="1" x14ac:dyDescent="0.2"/>
    <row r="967" s="11" customFormat="1" x14ac:dyDescent="0.2"/>
    <row r="968" s="11" customFormat="1" x14ac:dyDescent="0.2"/>
    <row r="969" s="11" customFormat="1" x14ac:dyDescent="0.2"/>
    <row r="970" s="11" customFormat="1" x14ac:dyDescent="0.2"/>
    <row r="971" s="11" customFormat="1" x14ac:dyDescent="0.2"/>
    <row r="972" s="11" customFormat="1" x14ac:dyDescent="0.2"/>
    <row r="973" s="11" customFormat="1" x14ac:dyDescent="0.2"/>
    <row r="974" s="11" customFormat="1" x14ac:dyDescent="0.2"/>
    <row r="975" s="11" customFormat="1" x14ac:dyDescent="0.2"/>
    <row r="976" s="11" customFormat="1" x14ac:dyDescent="0.2"/>
    <row r="977" s="11" customFormat="1" x14ac:dyDescent="0.2"/>
    <row r="978" s="11" customFormat="1" x14ac:dyDescent="0.2"/>
    <row r="979" s="11" customFormat="1" x14ac:dyDescent="0.2"/>
    <row r="980" s="11" customFormat="1" x14ac:dyDescent="0.2"/>
    <row r="981" s="11" customFormat="1" x14ac:dyDescent="0.2"/>
    <row r="982" s="11" customFormat="1" x14ac:dyDescent="0.2"/>
    <row r="983" s="11" customFormat="1" x14ac:dyDescent="0.2"/>
    <row r="984" s="11" customFormat="1" x14ac:dyDescent="0.2"/>
    <row r="985" s="11" customFormat="1" x14ac:dyDescent="0.2"/>
    <row r="986" s="11" customFormat="1" x14ac:dyDescent="0.2"/>
    <row r="987" s="11" customFormat="1" x14ac:dyDescent="0.2"/>
    <row r="988" s="11" customFormat="1" x14ac:dyDescent="0.2"/>
    <row r="989" s="11" customFormat="1" x14ac:dyDescent="0.2"/>
    <row r="990" s="11" customFormat="1" x14ac:dyDescent="0.2"/>
    <row r="991" s="11" customFormat="1" x14ac:dyDescent="0.2"/>
    <row r="992" s="11" customFormat="1" x14ac:dyDescent="0.2"/>
    <row r="993" s="11" customFormat="1" x14ac:dyDescent="0.2"/>
    <row r="994" s="11" customFormat="1" x14ac:dyDescent="0.2"/>
    <row r="995" s="11" customFormat="1" x14ac:dyDescent="0.2"/>
    <row r="996" s="11" customFormat="1" x14ac:dyDescent="0.2"/>
    <row r="997" s="11" customFormat="1" x14ac:dyDescent="0.2"/>
    <row r="998" s="11" customFormat="1" x14ac:dyDescent="0.2"/>
    <row r="999" s="11" customFormat="1" x14ac:dyDescent="0.2"/>
    <row r="1000" s="11" customFormat="1" x14ac:dyDescent="0.2"/>
    <row r="1001" s="11" customFormat="1" x14ac:dyDescent="0.2"/>
    <row r="1002" s="11" customFormat="1" x14ac:dyDescent="0.2"/>
    <row r="1003" s="11" customFormat="1" x14ac:dyDescent="0.2"/>
    <row r="1004" s="11" customFormat="1" x14ac:dyDescent="0.2"/>
    <row r="1005" s="11" customFormat="1" x14ac:dyDescent="0.2"/>
    <row r="1006" s="11" customFormat="1" x14ac:dyDescent="0.2"/>
    <row r="1007" s="11" customFormat="1" x14ac:dyDescent="0.2"/>
    <row r="1008" s="11" customFormat="1" x14ac:dyDescent="0.2"/>
    <row r="1009" s="11" customFormat="1" x14ac:dyDescent="0.2"/>
    <row r="1010" s="11" customFormat="1" x14ac:dyDescent="0.2"/>
    <row r="1011" s="11" customFormat="1" x14ac:dyDescent="0.2"/>
    <row r="1012" s="11" customFormat="1" x14ac:dyDescent="0.2"/>
    <row r="1013" s="11" customFormat="1" x14ac:dyDescent="0.2"/>
    <row r="1014" s="11" customFormat="1" x14ac:dyDescent="0.2"/>
    <row r="1015" s="11" customFormat="1" x14ac:dyDescent="0.2"/>
    <row r="1016" s="11" customFormat="1" x14ac:dyDescent="0.2"/>
    <row r="1017" s="11" customFormat="1" x14ac:dyDescent="0.2"/>
    <row r="1018" s="11" customFormat="1" x14ac:dyDescent="0.2"/>
    <row r="1019" s="11" customFormat="1" x14ac:dyDescent="0.2"/>
    <row r="1020" s="11" customFormat="1" x14ac:dyDescent="0.2"/>
    <row r="1021" s="11" customFormat="1" x14ac:dyDescent="0.2"/>
    <row r="1022" s="11" customFormat="1" x14ac:dyDescent="0.2"/>
    <row r="1023" s="11" customFormat="1" x14ac:dyDescent="0.2"/>
    <row r="1024" s="11" customFormat="1" x14ac:dyDescent="0.2"/>
    <row r="1025" s="11" customFormat="1" x14ac:dyDescent="0.2"/>
    <row r="1026" s="11" customFormat="1" x14ac:dyDescent="0.2"/>
    <row r="1027" s="11" customFormat="1" x14ac:dyDescent="0.2"/>
    <row r="1028" s="11" customFormat="1" x14ac:dyDescent="0.2"/>
    <row r="1029" s="11" customFormat="1" x14ac:dyDescent="0.2"/>
    <row r="1030" s="11" customFormat="1" x14ac:dyDescent="0.2"/>
    <row r="1031" s="11" customFormat="1" x14ac:dyDescent="0.2"/>
    <row r="1032" s="11" customFormat="1" x14ac:dyDescent="0.2"/>
    <row r="1033" s="11" customFormat="1" x14ac:dyDescent="0.2"/>
    <row r="1034" s="11" customFormat="1" x14ac:dyDescent="0.2"/>
    <row r="1035" s="11" customFormat="1" x14ac:dyDescent="0.2"/>
    <row r="1036" s="11" customFormat="1" x14ac:dyDescent="0.2"/>
    <row r="1037" s="11" customFormat="1" x14ac:dyDescent="0.2"/>
    <row r="1038" s="11" customFormat="1" x14ac:dyDescent="0.2"/>
    <row r="1039" s="11" customFormat="1" x14ac:dyDescent="0.2"/>
    <row r="1040" s="11" customFormat="1" x14ac:dyDescent="0.2"/>
    <row r="1041" s="11" customFormat="1" x14ac:dyDescent="0.2"/>
    <row r="1042" s="11" customFormat="1" x14ac:dyDescent="0.2"/>
    <row r="1043" s="11" customFormat="1" x14ac:dyDescent="0.2"/>
    <row r="1044" s="11" customFormat="1" x14ac:dyDescent="0.2"/>
    <row r="1045" s="11" customFormat="1" x14ac:dyDescent="0.2"/>
    <row r="1046" s="11" customFormat="1" x14ac:dyDescent="0.2"/>
    <row r="1047" s="11" customFormat="1" x14ac:dyDescent="0.2"/>
    <row r="1048" s="11" customFormat="1" x14ac:dyDescent="0.2"/>
    <row r="1049" s="11" customFormat="1" x14ac:dyDescent="0.2"/>
  </sheetData>
  <sortState xmlns:xlrd2="http://schemas.microsoft.com/office/spreadsheetml/2017/richdata2" ref="A2:AN76">
    <sortCondition ref="A2:A76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BristolPubs_subtotals_SeperateF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Higginson</dc:creator>
  <cp:lastModifiedBy>Thomas Higginson</cp:lastModifiedBy>
  <dcterms:created xsi:type="dcterms:W3CDTF">2025-07-23T22:01:05Z</dcterms:created>
  <dcterms:modified xsi:type="dcterms:W3CDTF">2025-07-29T16:18:55Z</dcterms:modified>
</cp:coreProperties>
</file>